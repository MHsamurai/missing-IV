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m/Library/Mobile Documents/com~apple~CloudDocs/慶応/研究系/missing-IV/実験/設問/"/>
    </mc:Choice>
  </mc:AlternateContent>
  <xr:revisionPtr revIDLastSave="0" documentId="13_ncr:1_{6A24E438-EF35-4A4D-8987-A64358AD3A90}" xr6:coauthVersionLast="47" xr6:coauthVersionMax="47" xr10:uidLastSave="{00000000-0000-0000-0000-000000000000}"/>
  <bookViews>
    <workbookView xWindow="4420" yWindow="660" windowWidth="24980" windowHeight="18460" activeTab="1" xr2:uid="{00000000-000D-0000-FFFF-FFFF00000000}"/>
  </bookViews>
  <sheets>
    <sheet name="00_設計ガイド" sheetId="1" r:id="rId1"/>
    <sheet name="01_実験1_設問票" sheetId="2" r:id="rId2"/>
    <sheet name="02_実験2_設問票" sheetId="3" r:id="rId3"/>
    <sheet name="03_出典原文" sheetId="4" r:id="rId4"/>
    <sheet name="04_サービス候補" sheetId="5" r:id="rId5"/>
    <sheet name="05_コードブック" sheetId="6" r:id="rId6"/>
    <sheet name="06_BTSテンプレ" sheetId="7" r:id="rId7"/>
    <sheet name="07_回答選択肢"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2" i="7" l="1"/>
  <c r="J22" i="7" s="1"/>
  <c r="I21" i="7"/>
  <c r="J21" i="7" s="1"/>
  <c r="J20" i="7"/>
  <c r="I20" i="7"/>
  <c r="I19" i="7"/>
  <c r="J19" i="7" s="1"/>
  <c r="I18" i="7"/>
  <c r="J18" i="7" s="1"/>
  <c r="I17" i="7"/>
  <c r="J17" i="7" s="1"/>
  <c r="J16" i="7"/>
  <c r="I16" i="7"/>
  <c r="I15" i="7"/>
  <c r="J15" i="7" s="1"/>
  <c r="I14" i="7"/>
  <c r="J14" i="7" s="1"/>
  <c r="I13" i="7"/>
  <c r="J13" i="7" s="1"/>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alcChain>
</file>

<file path=xl/sharedStrings.xml><?xml version="1.0" encoding="utf-8"?>
<sst xmlns="http://schemas.openxmlformats.org/spreadsheetml/2006/main" count="3054" uniqueCount="1475">
  <si>
    <t>オンラインレビュー選択・ランキング実験｜設問票・出典対照表</t>
  </si>
  <si>
    <t>作成日：2026-08-20｜実験1＝capacity-constrained review generation、実験2＝ランキング後の逐次信念形成</t>
  </si>
  <si>
    <t>設計上の主要判断</t>
  </si>
  <si>
    <t>論点</t>
  </si>
  <si>
    <t>推奨</t>
  </si>
  <si>
    <t>理由</t>
  </si>
  <si>
    <t>実装</t>
  </si>
  <si>
    <t>分析上の位置づけ</t>
  </si>
  <si>
    <t>Oracle対象J</t>
  </si>
  <si>
    <t>利用経験者の該当サービスから無作為にJ件を抽出</t>
  </si>
  <si>
    <t>参加者自身の対象選択をOracle作成段階へ混入させないため</t>
  </si>
  <si>
    <t>スクリーニング完了後にJ=10を抽出</t>
  </si>
  <si>
    <t>同一個人内の完全評価ベクトル</t>
  </si>
  <si>
    <t>公開容量K</t>
  </si>
  <si>
    <t>Oracle回答完了後にKを無作為割付</t>
  </si>
  <si>
    <t>容量制約の因果効果を識別するため</t>
  </si>
  <si>
    <t>例：K=3・5・10。パイロットで負担調整</t>
  </si>
  <si>
    <t>randomized disclosure capacity</t>
  </si>
  <si>
    <t>報酬</t>
  </si>
  <si>
    <t>評価方向・公開方向に依存させない</t>
  </si>
  <si>
    <t>肯定・否定レビューを金銭的に誘導しないため</t>
  </si>
  <si>
    <t>完了条件と所要時間差だけで固定</t>
  </si>
  <si>
    <t>選択機構の外生化</t>
  </si>
  <si>
    <t>公開評価</t>
  </si>
  <si>
    <t>主アームでは非公開星評価をそのまま公開値として使用</t>
  </si>
  <si>
    <t>対象選択と、公開時の評価変更を分離するため</t>
  </si>
  <si>
    <t>再回答は別アームのみ</t>
  </si>
  <si>
    <t>selection bias と expression bias の分離</t>
  </si>
  <si>
    <t>実験2の表示順</t>
  </si>
  <si>
    <t>参考度順に加えてランダム順を対照に置く</t>
  </si>
  <si>
    <t>レビュー内容と表示位置を識別するため</t>
  </si>
  <si>
    <t>レビュー集合を固定して順序だけランダム化</t>
  </si>
  <si>
    <t>ranking / primacy effect</t>
  </si>
  <si>
    <t>BTS</t>
  </si>
  <si>
    <t>全員が同条件で見る1～2件だけに限定</t>
  </si>
  <si>
    <t>同じ設問の経験分布と予測分布が必要なため</t>
  </si>
  <si>
    <t>5カテゴリ回答＋割合予測＋追加報酬</t>
  </si>
  <si>
    <t>incentive-compatible elicitation</t>
  </si>
  <si>
    <t>中心仮説</t>
  </si>
  <si>
    <t>当該サービスの評価を固定し、他サービスの極端性を変数化</t>
  </si>
  <si>
    <t>既知のpolarity self-selectionだけでなく競合的欠測を検証するため</t>
  </si>
  <si>
    <t>competitor_max_extremity等を構成</t>
  </si>
  <si>
    <t>cross-item crowd-out</t>
  </si>
  <si>
    <t>公開前処理</t>
  </si>
  <si>
    <t>個人情報だけを除去し、評価方向や文体は変更しない</t>
  </si>
  <si>
    <t>実験刺激の真正性と参加者保護を両立するため</t>
  </si>
  <si>
    <t>原文・公開版・修正ログを分離保存</t>
  </si>
  <si>
    <t>刺激作成監査</t>
  </si>
  <si>
    <t>推奨フロー</t>
  </si>
  <si>
    <t>段階</t>
  </si>
  <si>
    <t>実験1</t>
  </si>
  <si>
    <t>実験2</t>
  </si>
  <si>
    <t>主要な記録単位</t>
  </si>
  <si>
    <t>注意点</t>
  </si>
  <si>
    <t>1. 同意・理解確認</t>
  </si>
  <si>
    <t>公開範囲・報酬独立性</t>
  </si>
  <si>
    <t>逐次閲覧・BTS報酬</t>
  </si>
  <si>
    <t>参加者</t>
  </si>
  <si>
    <t>誤答時は説明を再表示</t>
  </si>
  <si>
    <t>2. スクリーニング</t>
  </si>
  <si>
    <t>40サービスの利用経験</t>
  </si>
  <si>
    <t>レビュー閲覧経験・対象認知</t>
  </si>
  <si>
    <t>参加者×候補サービス</t>
  </si>
  <si>
    <t>実験1は最低J件</t>
  </si>
  <si>
    <t>3. 事前・Oracle</t>
  </si>
  <si>
    <t>J件の期待・評価・利用履歴</t>
  </si>
  <si>
    <t>閲覧前の平均評価・星分布</t>
  </si>
  <si>
    <t>参加者×サービス</t>
  </si>
  <si>
    <t>実験1ではKをまだ知らせない</t>
  </si>
  <si>
    <t>4. ランダム割付</t>
  </si>
  <si>
    <t>K</t>
  </si>
  <si>
    <t>表示順・必要ならL</t>
  </si>
  <si>
    <t>割付ログを保存</t>
  </si>
  <si>
    <t>5. 行動・閲覧</t>
  </si>
  <si>
    <t>K件選択＋短文レビュー</t>
  </si>
  <si>
    <t>レビュー別参考度＋逐次分布</t>
  </si>
  <si>
    <t>参加者×サービス／レビュー×時点</t>
  </si>
  <si>
    <t>戻る操作・読了時間を記録</t>
  </si>
  <si>
    <t>6. 事後</t>
  </si>
  <si>
    <t>理由・態度・属性</t>
  </si>
  <si>
    <t>最終分布・代表性・属性</t>
  </si>
  <si>
    <t>理由項目は行動後</t>
  </si>
  <si>
    <t>シート構成</t>
  </si>
  <si>
    <t>シート</t>
  </si>
  <si>
    <t>内容</t>
  </si>
  <si>
    <t>使い方</t>
  </si>
  <si>
    <t>01_実験1_設問票</t>
  </si>
  <si>
    <t>回答者向け日本語設問、条件、変数、出典</t>
  </si>
  <si>
    <t>採用／保留でフィルタし、調査画面仕様へ移す</t>
  </si>
  <si>
    <t>02_実験2_設問票</t>
  </si>
  <si>
    <t>逐次閲覧、参考度、分布予測、BTS</t>
  </si>
  <si>
    <t>表示時点tとレビューIDを必ず保存</t>
  </si>
  <si>
    <t>03_出典原文</t>
  </si>
  <si>
    <t>トップ誌等の短い原文引用・自然な訳・URL</t>
  </si>
  <si>
    <t>原文の完全転載ではなく、出典確認用</t>
  </si>
  <si>
    <t>04_サービス候補</t>
  </si>
  <si>
    <t>40サービスとパイロット利用率欄</t>
  </si>
  <si>
    <t>利用率20％未満は差替候補として自動表示</t>
  </si>
  <si>
    <t>05_コードブック</t>
  </si>
  <si>
    <t>ロング形式の変数定義と歪み指標</t>
  </si>
  <si>
    <t>分析データ設計・事前登録に使用</t>
  </si>
  <si>
    <t>06_BTSテンプレ</t>
  </si>
  <si>
    <t>入力チェックと得点式の実装メモ</t>
  </si>
  <si>
    <t>本番前に報酬式をシミュレーション</t>
  </si>
  <si>
    <t>07_回答選択肢</t>
  </si>
  <si>
    <t>全尺度のコード・ラベル</t>
  </si>
  <si>
    <t>アンケート実装と分析コードで共通利用</t>
  </si>
  <si>
    <t>使用上の注意</t>
  </si>
  <si>
    <t>尺度の扱い</t>
  </si>
  <si>
    <t>原文をそのまま翻訳した項目と、研究目的に合わせて短縮・置換した項目を「原文との関係」で区別。短縮版は原尺度と同一とは扱わない。</t>
  </si>
  <si>
    <t>翻訳</t>
  </si>
  <si>
    <t>日本語の認知インタビューを行い、必要なら独立翻訳者による逆翻訳を実施。サービス名・星表示の理解も確認。</t>
  </si>
  <si>
    <t>著作権</t>
  </si>
  <si>
    <t>03シートは検証に必要な短い引用だけを収録。尺度を大量に転載する場合は出版社・著者の利用条件を確認。</t>
  </si>
  <si>
    <t>事前登録</t>
  </si>
  <si>
    <t>J・K・L、除外規則、公開評価の扱い、主要歪み指標、BTSの平滑化・報酬上限を本調査前に固定。</t>
  </si>
  <si>
    <t>パイロット</t>
  </si>
  <si>
    <t>J=10、K=10の自由記述負担、サービス利用率、回顧的期待の想起精度、BTS分布入力の誤答率を確認。</t>
  </si>
  <si>
    <t>実験1｜Oracle評価・容量制約付き公開レビュー</t>
  </si>
  <si>
    <t>「採用」を本調査の基本案、「保留」をパイロットまたは別アーム候補としている。KはOracle回答完了後に割り付ける。</t>
  </si>
  <si>
    <t>順序</t>
  </si>
  <si>
    <t>採用判断</t>
  </si>
  <si>
    <t>区分</t>
  </si>
  <si>
    <t>質問ID</t>
  </si>
  <si>
    <t>優先度</t>
  </si>
  <si>
    <t>表示条件・ループ</t>
  </si>
  <si>
    <t>回答者向け設問文（日本語）</t>
  </si>
  <si>
    <t>回答形式</t>
  </si>
  <si>
    <t>選択肢・尺度</t>
  </si>
  <si>
    <t>必須</t>
  </si>
  <si>
    <t>変数名</t>
  </si>
  <si>
    <t>出典ID</t>
  </si>
  <si>
    <t>原文との関係</t>
  </si>
  <si>
    <t>分析・実装メモ</t>
  </si>
  <si>
    <t>採用</t>
  </si>
  <si>
    <t>説明・同意</t>
  </si>
  <si>
    <t>E1_INTRO_01</t>
  </si>
  <si>
    <t>全員</t>
  </si>
  <si>
    <t>この調査では、デジタルサービスの利用経験について非公開で評価した後、その一部について短いオンラインレビューを作成していただきます。選択したレビューは、個人を特定できない形で、後続の参加者がクローズドな実験サイト内で閲覧する可能性があります。</t>
  </si>
  <si>
    <t>説明文</t>
  </si>
  <si>
    <t>—</t>
  </si>
  <si>
    <t>研究固有</t>
  </si>
  <si>
    <t>倫理審査用の正式な説明・同意文書と整合させる。自由記述から氏名・連絡先等を除去する方針も別途明示。</t>
  </si>
  <si>
    <t>E1_INTRO_02</t>
  </si>
  <si>
    <t>公開するレビューの件数や、評価が肯定的か否定的かによって、基本報酬は変わりません。割り当てられた件数を完了した場合に基本報酬が支払われます。</t>
  </si>
  <si>
    <t>レビュー方向に依存する誘因を排除。Kが異なる場合は所要時間差に応じた追加報酬を事前固定する。</t>
  </si>
  <si>
    <t>説明・理解確認</t>
  </si>
  <si>
    <t>E1_COMP_PAY</t>
  </si>
  <si>
    <t>説明文の直後</t>
  </si>
  <si>
    <t>基本報酬について正しいものを選んでください。</t>
  </si>
  <si>
    <t>単一選択</t>
  </si>
  <si>
    <t>PAY_COMP_3</t>
  </si>
  <si>
    <t>はい</t>
  </si>
  <si>
    <t>comp_pay</t>
  </si>
  <si>
    <t>誤答時は除外せず、正しい説明を再表示して再回答させる。</t>
  </si>
  <si>
    <t>E1_CONSENT</t>
  </si>
  <si>
    <t>上記の説明を読み、研究参加に同意しますか。</t>
  </si>
  <si>
    <t>CONSENT_2</t>
  </si>
  <si>
    <t>consent</t>
  </si>
  <si>
    <t>「同意しない」は終了。正式な同意文書が別画面にある場合は重複を調整。</t>
  </si>
  <si>
    <t>スクリーニング</t>
  </si>
  <si>
    <t>E1_AGE</t>
  </si>
  <si>
    <t>あなたの年齢を数字で入力してください。</t>
  </si>
  <si>
    <t>数値入力</t>
  </si>
  <si>
    <t>18～99歳</t>
  </si>
  <si>
    <t>age</t>
  </si>
  <si>
    <t>18歳未満は終了。分析では連続値と年代カテゴリの双方を作成。</t>
  </si>
  <si>
    <t>E1_JAPANESE</t>
  </si>
  <si>
    <t>日本語で設問を読み、自由記述レビューを書くことができますか。</t>
  </si>
  <si>
    <t>YES_NO</t>
  </si>
  <si>
    <t>japanese_capable</t>
  </si>
  <si>
    <t>「いいえ」は終了。</t>
  </si>
  <si>
    <t>E1_DEVICE</t>
  </si>
  <si>
    <t>現在、PCまたはタブレットから回答していますか。</t>
  </si>
  <si>
    <t>device_ok</t>
  </si>
  <si>
    <t>スマートフォンを除外する設計の場合のみ使用。</t>
  </si>
  <si>
    <t>E1_SERVICE_MATRIX</t>
  </si>
  <si>
    <t>40サービスを行列表示</t>
  </si>
  <si>
    <t>次の各デジタルサービスについて、あなたの利用状況に最も近いものを選んでください。ここで「利用」とは、ご自身で機能や内容をある程度把握できる程度に使ったことを指します。</t>
  </si>
  <si>
    <t>行列・単一選択</t>
  </si>
  <si>
    <t>USE_STATUS_5</t>
  </si>
  <si>
    <t>use_status_[service_id]</t>
  </si>
  <si>
    <t>過去12か月に利用したサービス数をeligibility_countとして集計。サービス候補は「04_サービス候補」。</t>
  </si>
  <si>
    <t>E1_ELIGIBILITY</t>
  </si>
  <si>
    <t>非表示・自動判定</t>
  </si>
  <si>
    <t>（自動判定）過去12か月に利用したサービスがJ件以上か。</t>
  </si>
  <si>
    <t>隠し変数</t>
  </si>
  <si>
    <t>J=10を初期値。パイロット後に調整</t>
  </si>
  <si>
    <t>eligible</t>
  </si>
  <si>
    <t>J未満は終了。J超の場合、参加者に選ばせず、該当サービスからJ件をランダム抽出する。</t>
  </si>
  <si>
    <t>E1_REVIEW_READ_12M</t>
  </si>
  <si>
    <t>過去12か月に、商品・サービスを選ぶためにオンラインレビューを読んだことがありますか。</t>
  </si>
  <si>
    <t>review_read_12m</t>
  </si>
  <si>
    <t>レビュー利用経験の共変量。</t>
  </si>
  <si>
    <t>E1_REVIEW_WRITE_COUNT_12M</t>
  </si>
  <si>
    <t>過去12か月に、商品・サービスについてオンラインレビューを何件投稿しましたか。数字で入力してください。</t>
  </si>
  <si>
    <t>0～999件</t>
  </si>
  <si>
    <t>review_write_count_12m</t>
  </si>
  <si>
    <t>SCH-REVCOUNT-SUM</t>
  </si>
  <si>
    <t>概念を直接移植</t>
  </si>
  <si>
    <t>極端値は上限処理を事前規定。JMRの自己選択実験でレビュー件数を統制。</t>
  </si>
  <si>
    <t>Oracle評価</t>
  </si>
  <si>
    <t>E1_ORACLE_INTRO</t>
  </si>
  <si>
    <t>J件を抽出後</t>
  </si>
  <si>
    <t>これから、利用経験があるサービスの中から無作為に選ばれたJ件について伺います。ここでの回答は、後の公開対象を選ぶ前に記録されます。</t>
  </si>
  <si>
    <t>参加者自身にOracle対象を選ばせない。初期の対象選択バイアスを防ぐ。</t>
  </si>
  <si>
    <t>E1_EXPECT_PRE</t>
  </si>
  <si>
    <t>抽出された各サービスについて反復</t>
  </si>
  <si>
    <t>このサービスを初めて利用する直前、全体としてどの程度よいサービスだと期待していましたか。</t>
  </si>
  <si>
    <t>5件法</t>
  </si>
  <si>
    <t>EXPECTATION_5</t>
  </si>
  <si>
    <t>expectation_pre</t>
  </si>
  <si>
    <t>BHA-CONF-QUOTE; OLI-DISCONF-QUOTE</t>
  </si>
  <si>
    <t>理論に基づく研究固有の回顧項目</t>
  </si>
  <si>
    <t>回顧的期待。現在評価と同じ方向の尺度にし、差を計算可能にする。回顧誤差をE1_RECALL_CONFで測る。</t>
  </si>
  <si>
    <t>E1_RATING_PRIVATE</t>
  </si>
  <si>
    <t>現在までの利用経験全体を踏まえると、このサービスを何点で評価しますか。この段階では、J件すべての評価が他の参加者に表示されることはありません。</t>
  </si>
  <si>
    <t>5段階・星評価</t>
  </si>
  <si>
    <t>STAR_5</t>
  </si>
  <si>
    <t>rating_private</t>
  </si>
  <si>
    <t>SCH-RATING-QUOTE</t>
  </si>
  <si>
    <t>対象をサービスへ置換</t>
  </si>
  <si>
    <t>Oracleの中心アウトカム。公開対象に選ばれた場合のみ、この星評価をレビューとともに表示する設計を推奨。</t>
  </si>
  <si>
    <t>E1_DISCONF_DIRECT</t>
  </si>
  <si>
    <t>実際の利用経験は、利用前の期待と比べてどうでしたか。</t>
  </si>
  <si>
    <t>DISCONF_5</t>
  </si>
  <si>
    <t>disconfirmation_direct</t>
  </si>
  <si>
    <t>OLI-DISCONF-QUOTE; BHA-CONF-QUOTE</t>
  </si>
  <si>
    <t>尺度を5件法に簡略化</t>
  </si>
  <si>
    <t>期待差の直接測定。rating_private－expectation_preとの整合性を確認。</t>
  </si>
  <si>
    <t>E1_USE_FREQ</t>
  </si>
  <si>
    <t>過去12か月、このサービスをどのくらいの頻度で利用しましたか。</t>
  </si>
  <si>
    <t>USE_FREQ_7</t>
  </si>
  <si>
    <t>use_frequency</t>
  </si>
  <si>
    <t>研究固有の事実質問</t>
  </si>
  <si>
    <t>月当たり回数へ近似変換する場合は変換規則を事前規定。</t>
  </si>
  <si>
    <t>E1_USE_DURATION</t>
  </si>
  <si>
    <t>このサービスを初めて利用してから、どのくらい経ちますか。</t>
  </si>
  <si>
    <t>USE_DURATION_7</t>
  </si>
  <si>
    <t>use_duration</t>
  </si>
  <si>
    <t>利用期間。</t>
  </si>
  <si>
    <t>E1_LAST_USE</t>
  </si>
  <si>
    <t>最後にこのサービスを利用したのは、いつ頃ですか。</t>
  </si>
  <si>
    <t>RECENCY_6</t>
  </si>
  <si>
    <t>last_use_recency</t>
  </si>
  <si>
    <t>SCH-RECENCY-QUOTE</t>
  </si>
  <si>
    <t>サービス利用に適合させた翻訳</t>
  </si>
  <si>
    <t>想起期間の交絡を統制。Schoenmueller et al.の自己選択実験に対応。</t>
  </si>
  <si>
    <t>E1_PAYMENT_TYPE</t>
  </si>
  <si>
    <t>このサービスを主にどの形で利用していますか。</t>
  </si>
  <si>
    <t>PAYMENT_TYPE_5</t>
  </si>
  <si>
    <t>payment_type</t>
  </si>
  <si>
    <t>無料・有料、組織負担等を統制。</t>
  </si>
  <si>
    <t>E1_IMPORTANCE</t>
  </si>
  <si>
    <t>このサービスは、あなたの日常生活や仕事にとってどの程度重要ですか。</t>
  </si>
  <si>
    <t>IMPORTANCE_5</t>
  </si>
  <si>
    <t>service_importance</t>
  </si>
  <si>
    <t>公開選択の共変量。</t>
  </si>
  <si>
    <t>E1_PRIOR_REVIEW</t>
  </si>
  <si>
    <t>これまでに、このサービスについてオンラインレビューを投稿したことがありますか。</t>
  </si>
  <si>
    <t>YES_NO_DK</t>
  </si>
  <si>
    <t>prior_review_service</t>
  </si>
  <si>
    <t>既存投稿経験による選択傾向を統制。</t>
  </si>
  <si>
    <t>E1_RECALL_CONF</t>
  </si>
  <si>
    <t>初めて利用する前の期待を、どの程度確かに思い出せていますか。</t>
  </si>
  <si>
    <t>CONFIDENCE_5</t>
  </si>
  <si>
    <t>expectation_recall_confidence</t>
  </si>
  <si>
    <t>回顧的期待の測定誤差指標。</t>
  </si>
  <si>
    <t>保留</t>
  </si>
  <si>
    <t>E1_SAT_SINGLE</t>
  </si>
  <si>
    <t>任意</t>
  </si>
  <si>
    <t>各人2サービスをランダム抽出して反復</t>
  </si>
  <si>
    <t>このサービスの利用経験全体について、どの程度満足していますか。</t>
  </si>
  <si>
    <t>7件法・両極尺度</t>
  </si>
  <si>
    <t>SATISFACTION_7</t>
  </si>
  <si>
    <t>いいえ</t>
  </si>
  <si>
    <t>satisfaction</t>
  </si>
  <si>
    <t>BHA-SAT-QUOTE</t>
  </si>
  <si>
    <t>自然な日本語へ適応</t>
  </si>
  <si>
    <t>J件すべてに入れると負担が大きい。尺度妥当性確認用に一部サービスへ限定。</t>
  </si>
  <si>
    <t>頑健性</t>
  </si>
  <si>
    <t>E1_WRITE_LIKELIHOOD</t>
  </si>
  <si>
    <t>本実験とは別アーム、または選択後</t>
  </si>
  <si>
    <t>このサービスについて、オンラインレビューを書く可能性はどの程度ありますか。</t>
  </si>
  <si>
    <t>LIKELIHOOD_5</t>
  </si>
  <si>
    <t>review_likelihood</t>
  </si>
  <si>
    <t>SCH-LIKELIHOOD-SUM</t>
  </si>
  <si>
    <t>公表記述に基づく適応</t>
  </si>
  <si>
    <t>本実験で選択前に全J件へ聞くと選択課題をプライミングするため、別実験または選択後に用いる。</t>
  </si>
  <si>
    <t>処置割付</t>
  </si>
  <si>
    <t>E1_K_ASSIGN</t>
  </si>
  <si>
    <t>非表示・Oracle回答完了後</t>
  </si>
  <si>
    <t>（ランダム割付）公開対象数Kを割り当てる。</t>
  </si>
  <si>
    <t>K_TREATMENT（例：3・5・10）</t>
  </si>
  <si>
    <t>k_treatment</t>
  </si>
  <si>
    <t>KはOracle回答完了後に割り付ける。K=10は自由記述負担が大きいためパイロットで離脱・質を確認。</t>
  </si>
  <si>
    <t>公開選択</t>
  </si>
  <si>
    <t>E1_PUBLIC_INSTR</t>
  </si>
  <si>
    <t>K割付後</t>
  </si>
  <si>
    <t>先ほど評価したJ件のうち、K件を公開レビューの対象として選んでください。選んだ対象については、先ほどの星評価と、これから入力する短いレビュー本文が、後続参加者に表示される可能性があります。K件以外の評価は表示されません。</t>
  </si>
  <si>
    <t>SCH-SELECT-QUOTEを踏まえた研究固有指示</t>
  </si>
  <si>
    <t>公開される情報を明確にする。純粋な選択効果を主目的とする場合、星評価は再質問せずprivate評価を用いる。</t>
  </si>
  <si>
    <t>E1_PUBLIC_COMP</t>
  </si>
  <si>
    <t>公開選択の直前</t>
  </si>
  <si>
    <t>公開対象の選び方について正しいものを選んでください。</t>
  </si>
  <si>
    <t>PUBLIC_COMP_3</t>
  </si>
  <si>
    <t>comp_public</t>
  </si>
  <si>
    <t>誤答時は説明を再表示。</t>
  </si>
  <si>
    <t>E1_SELECT_K</t>
  </si>
  <si>
    <t>J件を同時表示</t>
  </si>
  <si>
    <t>実際にオンラインレビューを書くとしたら、どのK件を公開しますか。必ずK件を選んでください。</t>
  </si>
  <si>
    <t>複数選択・件数制約</t>
  </si>
  <si>
    <t>J件からちょうどK件</t>
  </si>
  <si>
    <t>selected_public</t>
  </si>
  <si>
    <t>SCH-SELECT-QUOTE</t>
  </si>
  <si>
    <t>複数対象・容量制約へ拡張</t>
  </si>
  <si>
    <t>主要処置反応R_ij。UIで選択数を常時表示し、K件未満・超過では進めない。</t>
  </si>
  <si>
    <t>E1_SELECT_RANK</t>
  </si>
  <si>
    <t>選択完了後</t>
  </si>
  <si>
    <t>選んだK件を、レビューを書きたい順に並べてください。</t>
  </si>
  <si>
    <t>順位付け</t>
  </si>
  <si>
    <t>1位～K位</t>
  </si>
  <si>
    <t>selection_rank</t>
  </si>
  <si>
    <t>潜在的な選択効用の順位情報。主実験への追加は負担と需要効果をパイロットで確認。</t>
  </si>
  <si>
    <t>公開レビュー</t>
  </si>
  <si>
    <t>E1_PUBLIC_RATING_REASK</t>
  </si>
  <si>
    <t>要設計判断</t>
  </si>
  <si>
    <t>選択された各サービス・別アームのみ</t>
  </si>
  <si>
    <t>公開する星評価を、あらためて選んでください。</t>
  </si>
  <si>
    <t>rating_public_reask</t>
  </si>
  <si>
    <t>公開文脈へ適応</t>
  </si>
  <si>
    <t>純粋な選択バイアスを推定する主アームでは使用しない。別アームでのみ、表出の歪み rating_public－rating_private を測る。</t>
  </si>
  <si>
    <t>E1_REVIEW_TITLE</t>
  </si>
  <si>
    <t>選択された各サービスについて反復</t>
  </si>
  <si>
    <t>このレビューの短いタイトルを入力してください。</t>
  </si>
  <si>
    <t>自由記述</t>
  </si>
  <si>
    <t>5～40字</t>
  </si>
  <si>
    <t>review_title</t>
  </si>
  <si>
    <t>本文のみで十分なら省略可能。個人情報・URLを入力しないよう表示。</t>
  </si>
  <si>
    <t>E1_REVIEW_TEXT</t>
  </si>
  <si>
    <t>このサービスの利用経験について、後から読む人に伝わるように短いレビューを書いてください。良かった点・悪かった点のどちらを書いても構いません。</t>
  </si>
  <si>
    <t>20～150字を推奨</t>
  </si>
  <si>
    <t>review_text</t>
  </si>
  <si>
    <t>K間で同一の文字数制約。LLM補助は禁止・可の方針を事前に統一。</t>
  </si>
  <si>
    <t>E1_REVIEW_SAFE</t>
  </si>
  <si>
    <t>各レビュー入力後</t>
  </si>
  <si>
    <t>このレビューに、氏名、住所、電話番号、メールアドレス、アカウント名など、個人を特定できる情報を含めていないことを確認してください。</t>
  </si>
  <si>
    <t>チェックボックス</t>
  </si>
  <si>
    <t>確認しました</t>
  </si>
  <si>
    <t>review_pii_check</t>
  </si>
  <si>
    <t>自動検出と人手確認を併用。内容修正は個人情報・明白な規約違反の除去に限定し、評価方向を変えない。</t>
  </si>
  <si>
    <t>選択理由</t>
  </si>
  <si>
    <t>E1_SELECTION_REASON</t>
  </si>
  <si>
    <t>全レビュー作成後・選択対象ごと</t>
  </si>
  <si>
    <t>このサービスを公開対象に選んだ理由として当てはまるものをすべて選んでください。</t>
  </si>
  <si>
    <t>複数選択</t>
  </si>
  <si>
    <t>SELECTION_REASON_8</t>
  </si>
  <si>
    <t>selection_reason</t>
  </si>
  <si>
    <t>HT-WARN-QUOTE; HT-HELP-QUOTE</t>
  </si>
  <si>
    <t>動機尺度を行動後の理由へ適応</t>
  </si>
  <si>
    <t>行動前に聞くと選択を誘導するため、必ず行動後。因果メカニズムの補助証拠として扱う。</t>
  </si>
  <si>
    <t>E1_UNSELECTED_REASON</t>
  </si>
  <si>
    <t>非選択対象から1件をランダム抽出</t>
  </si>
  <si>
    <t>このサービスを公開対象に選ばなかった主な理由を1つ選んでください。</t>
  </si>
  <si>
    <t>UNSELECTED_REASON_7</t>
  </si>
  <si>
    <t>unselected_reason</t>
  </si>
  <si>
    <t>無回答・合理化の可能性があるため記述的に扱う。</t>
  </si>
  <si>
    <t>レビュー経験・態度</t>
  </si>
  <si>
    <t>E1_REVIEW_READ_FREQ</t>
  </si>
  <si>
    <t>公開レビュー作成後</t>
  </si>
  <si>
    <t>商品・サービスを選ぶとき、オンラインレビューをどのくらいの頻度で読みますか。</t>
  </si>
  <si>
    <t>REVIEW_READ_FREQ_7</t>
  </si>
  <si>
    <t>review_read_frequency</t>
  </si>
  <si>
    <t>読者経験の共変量。</t>
  </si>
  <si>
    <t>E1_REVIEW_RELIANCE</t>
  </si>
  <si>
    <t>商品・サービスを選ぶ際、オンラインレビューを判断材料としてどの程度利用しますか。</t>
  </si>
  <si>
    <t>7件法</t>
  </si>
  <si>
    <t>EXTENT_7</t>
  </si>
  <si>
    <t>review_reliance</t>
  </si>
  <si>
    <t>「信頼」より行動的な依存度を測る。</t>
  </si>
  <si>
    <t>E1_REVIEW_TRUST</t>
  </si>
  <si>
    <t>一般に、オンラインレビューに書かれている評価はどの程度信頼できると思いますか。</t>
  </si>
  <si>
    <t>TRUST_7</t>
  </si>
  <si>
    <t>review_trust</t>
  </si>
  <si>
    <t>尺度は単一項目。複数項目化する場合は別途妥当性確認。</t>
  </si>
  <si>
    <t>E1_REVIEW_EASE</t>
  </si>
  <si>
    <t>オンラインレビューを書くことは、あなたにとってどの程度負担ですか。</t>
  </si>
  <si>
    <t>BURDEN_7</t>
  </si>
  <si>
    <t>review_writing_burden</t>
  </si>
  <si>
    <t>投稿コストの個人差。値が高いほど負担大。</t>
  </si>
  <si>
    <t>投稿動機</t>
  </si>
  <si>
    <t>E1_MOT_HELP</t>
  </si>
  <si>
    <t>オンラインレビューを書く理由として、「自分の良い経験を伝えて、他の人の役に立ちたい」がどの程度当てはまりますか。</t>
  </si>
  <si>
    <t>AGREE_7</t>
  </si>
  <si>
    <t>motive_help_positive</t>
  </si>
  <si>
    <t>HT-HELP-QUOTE</t>
  </si>
  <si>
    <t>自然な日本語訳</t>
  </si>
  <si>
    <t>専門誌由来の補助尺度。全項目を入れる場合は負担に注意。</t>
  </si>
  <si>
    <t>E1_MOT_WARN</t>
  </si>
  <si>
    <t>オンラインレビューを書く理由として、「悪い商品やサービスについて、他の人に注意を促したい」がどの程度当てはまりますか。</t>
  </si>
  <si>
    <t>motive_warn_negative</t>
  </si>
  <si>
    <t>HT-WARN-QUOTE</t>
  </si>
  <si>
    <t>負の経験の社会的共有動機。</t>
  </si>
  <si>
    <t>E1_MOT_VENT</t>
  </si>
  <si>
    <t>オンラインレビューを書く理由として、「悪い利用経験による不満を発散したい」がどの程度当てはまりますか。</t>
  </si>
  <si>
    <t>motive_vent</t>
  </si>
  <si>
    <t>HT-OTHER-SUM</t>
  </si>
  <si>
    <t>原尺度の趣旨を穏当な日本語へ要約</t>
  </si>
  <si>
    <t>原尺度の復讐表現は日本語調査では強すぎるため、短縮・適応版として扱う。</t>
  </si>
  <si>
    <t>E1_MOT_REWARD</t>
  </si>
  <si>
    <t>オンラインレビューを書く理由として、「ポイント、割引、謝礼などの特典を得たい」がどの程度当てはまりますか。</t>
  </si>
  <si>
    <t>motive_reward</t>
  </si>
  <si>
    <t>原尺度の趣旨を要約</t>
  </si>
  <si>
    <t>今回の基本報酬とは区別して説明。</t>
  </si>
  <si>
    <t>属性</t>
  </si>
  <si>
    <t>E1_GENDER</t>
  </si>
  <si>
    <t>最後</t>
  </si>
  <si>
    <t>あなたの性別を教えてください。</t>
  </si>
  <si>
    <t>GENDER_5</t>
  </si>
  <si>
    <t>gender</t>
  </si>
  <si>
    <t>回答しない選択肢を置く。</t>
  </si>
  <si>
    <t>E1_EDUCATION</t>
  </si>
  <si>
    <t>最終学歴を教えてください。</t>
  </si>
  <si>
    <t>EDUCATION_7</t>
  </si>
  <si>
    <t>education</t>
  </si>
  <si>
    <t>在学中は現在在籍する段階を含む選択肢にする。</t>
  </si>
  <si>
    <t>E1_EMPLOYMENT</t>
  </si>
  <si>
    <t>現在の就業状況を教えてください。</t>
  </si>
  <si>
    <t>EMPLOYMENT_8</t>
  </si>
  <si>
    <t>employment</t>
  </si>
  <si>
    <t>複数該当を許すかは調査会社仕様に合わせる。</t>
  </si>
  <si>
    <t>E1_REGION</t>
  </si>
  <si>
    <t>現在お住まいの地域を教えてください。</t>
  </si>
  <si>
    <t>REGION_9</t>
  </si>
  <si>
    <t>region</t>
  </si>
  <si>
    <t>都道府県を直接聞く場合は47区分へ差し替え。</t>
  </si>
  <si>
    <t>E1_HH_INCOME</t>
  </si>
  <si>
    <t>昨年1年間の世帯年収（税込）に最も近いものを選んでください。</t>
  </si>
  <si>
    <t>HH_INCOME_10</t>
  </si>
  <si>
    <t>household_income</t>
  </si>
  <si>
    <t>回答しにくい項目のため任意・「答えたくない」を設ける。</t>
  </si>
  <si>
    <t>終了</t>
  </si>
  <si>
    <t>E1_COMMENT</t>
  </si>
  <si>
    <t>調査中に分かりにくかった点や、伝えておきたいことがあれば記入してください。</t>
  </si>
  <si>
    <t>0～500字</t>
  </si>
  <si>
    <t>final_comment</t>
  </si>
  <si>
    <t>実装不具合と需要効果の検知に利用。</t>
  </si>
  <si>
    <t>実験2｜レビューランキング・逐次経験分布・BTS</t>
  </si>
  <si>
    <t>レビュー集合を固定し、少なくとも「ランダム順」と「参考度順」を比較する。BTSは全員が同一条件で見る共通レビューに限定する。</t>
  </si>
  <si>
    <t>E2_INTRO_01</t>
  </si>
  <si>
    <t>この調査では、実験用のオンラインレビューサイト上で複数のレビューを読み、各レビューと、これまでに見たレビュー全体について評価していただきます。</t>
  </si>
  <si>
    <t>実験1のレビューを使う場合、個人情報除去と研究利用への同意範囲を確認。</t>
  </si>
  <si>
    <t>E2_CONSENT</t>
  </si>
  <si>
    <t>「同意しない」は終了。</t>
  </si>
  <si>
    <t>E2_AGE</t>
  </si>
  <si>
    <t>18歳未満は終了。</t>
  </si>
  <si>
    <t>E2_JAPANESE</t>
  </si>
  <si>
    <t>日本語でレビューを読み、設問に回答できますか。</t>
  </si>
  <si>
    <t>E2_REVIEW_READ_12M</t>
  </si>
  <si>
    <t>「いいえ」を除外するか、低経験層として残すかを事前規定。</t>
  </si>
  <si>
    <t>E2_REVIEW_READ_FREQ</t>
  </si>
  <si>
    <t>E2_REVIEW_WRITE_COUNT_12M</t>
  </si>
  <si>
    <t>過去12か月に、商品・サービスについてオンラインレビューを何件投稿しましたか。</t>
  </si>
  <si>
    <t>読者としての評価にも投稿者経験が影響し得る。</t>
  </si>
  <si>
    <t>E2_FOCAL_USE</t>
  </si>
  <si>
    <t>対象サービスごと、提示前</t>
  </si>
  <si>
    <t>これからレビューを読むサービスを、これまでに利用したことがありますか。</t>
  </si>
  <si>
    <t>FOCAL_USE_4</t>
  </si>
  <si>
    <t>focal_service_use</t>
  </si>
  <si>
    <t>レビューによる信念更新を主目的とする場合、未利用者を主分析にするか層別化。</t>
  </si>
  <si>
    <t>E2_FOCAL_FAMILIARITY</t>
  </si>
  <si>
    <t>このサービスについて、レビューを読む前からどの程度知っていましたか。</t>
  </si>
  <si>
    <t>FAMILIARITY_5</t>
  </si>
  <si>
    <t>focal_familiarity</t>
  </si>
  <si>
    <t>事前知識を統制。</t>
  </si>
  <si>
    <t>E2_ORDER_ASSIGN</t>
  </si>
  <si>
    <t>非表示</t>
  </si>
  <si>
    <t>（ランダム割付）レビューの表示順条件を割り当てる。</t>
  </si>
  <si>
    <t>ORDER_CONDITION（例：ランダム／参考度上位順）</t>
  </si>
  <si>
    <t>order_condition</t>
  </si>
  <si>
    <t>少なくともランダム順を対照条件に置く。ランキング順だけでは内容と位置を識別できない。</t>
  </si>
  <si>
    <t>E2_L_ASSIGN</t>
  </si>
  <si>
    <t>（割付または固定）表示するレビュー件数Lを設定する。</t>
  </si>
  <si>
    <t>L（例：3・5・10）</t>
  </si>
  <si>
    <t>l_displayed</t>
  </si>
  <si>
    <t>Lを変える場合は処置としてランダム化。</t>
  </si>
  <si>
    <t>閲覧説明</t>
  </si>
  <si>
    <t>E2_FEED_INSTR</t>
  </si>
  <si>
    <t>レビュー提示前</t>
  </si>
  <si>
    <t>レビューは1件ずつ表示されます。各レビューを最後まで読んだうえで、そのレビュー自体の参考度と、そこまでに見たレビュー全体から受けた印象を回答してください。前の画面には戻れません。</t>
  </si>
  <si>
    <t>YINの実験指示を研究文脈へ適応</t>
  </si>
  <si>
    <t>逐次更新を測るため戻る操作を禁止。読了時間を隠し変数で記録。</t>
  </si>
  <si>
    <t>E2_ORDER_COMP</t>
  </si>
  <si>
    <t>この調査で表示されるレビューについて正しいものを選んでください。</t>
  </si>
  <si>
    <t>ORDER_COMP_3</t>
  </si>
  <si>
    <t>comp_order</t>
  </si>
  <si>
    <t>割付条件を直接当てさせず、「1件ずつ読む」「前に戻れない」等を確認。</t>
  </si>
  <si>
    <t>事前信念</t>
  </si>
  <si>
    <t>E2_BASE_RATING</t>
  </si>
  <si>
    <t>最初のレビュー前</t>
  </si>
  <si>
    <t>まだレビューを読んでいない時点で、このサービスの利用者全体による平均的な評価は、星いくつ程度だと思いますか。</t>
  </si>
  <si>
    <t>baseline_expected_rating</t>
  </si>
  <si>
    <t>期待評価へ適応</t>
  </si>
  <si>
    <t>事前信念の点推定。</t>
  </si>
  <si>
    <t>E2_BASE_DIST</t>
  </si>
  <si>
    <t>このサービスの利用者100人が評価するとしたら、星1～星5を付ける人はそれぞれ何％だと思いますか。合計が100％になるよう入力してください。</t>
  </si>
  <si>
    <t>割合配分</t>
  </si>
  <si>
    <t>DIST_5_SUM100</t>
  </si>
  <si>
    <t>baseline_dist_1to5</t>
  </si>
  <si>
    <t>PRELEC-BTS-QUOTE</t>
  </si>
  <si>
    <t>分布予測へ適応</t>
  </si>
  <si>
    <t>経験分布の事前推定。各セル0～100、合計100を検証。</t>
  </si>
  <si>
    <t>E2_BASE_CONF</t>
  </si>
  <si>
    <t>上の予測に、どの程度自信がありますか。</t>
  </si>
  <si>
    <t>baseline_confidence</t>
  </si>
  <si>
    <t>信念更新の精度・異質性。</t>
  </si>
  <si>
    <t>レビュー別評価</t>
  </si>
  <si>
    <t>E2_HELPFUL_1</t>
  </si>
  <si>
    <t>各レビューの直後</t>
  </si>
  <si>
    <t>あなたがこのサービスを利用するか判断するとしたら、このレビューはどの程度参考になりますか。</t>
  </si>
  <si>
    <t>9件法</t>
  </si>
  <si>
    <t>HELPFULNESS_9</t>
  </si>
  <si>
    <t>helpful</t>
  </si>
  <si>
    <t>YIN-HELP-1</t>
  </si>
  <si>
    <t>Yin et al.の3項目尺度の第1項目。</t>
  </si>
  <si>
    <t>E2_HELPFUL_2</t>
  </si>
  <si>
    <t>このレビューは、あなたの判断にどの程度役に立ちますか。</t>
  </si>
  <si>
    <t>USEFULNESS_9</t>
  </si>
  <si>
    <t>useful</t>
  </si>
  <si>
    <t>YIN-HELP-2</t>
  </si>
  <si>
    <t>3項目平均を主要な参考度指標とする。</t>
  </si>
  <si>
    <t>E2_HELPFUL_3</t>
  </si>
  <si>
    <t>このレビューには、あなたの判断材料となる情報がどの程度含まれていますか。</t>
  </si>
  <si>
    <t>INFORMATIVENESS_9</t>
  </si>
  <si>
    <t>informative</t>
  </si>
  <si>
    <t>YIN-HELP-3</t>
  </si>
  <si>
    <t>3項目尺度。</t>
  </si>
  <si>
    <t>E2_EFFORT</t>
  </si>
  <si>
    <t>各人1～2レビューをランダム抽出</t>
  </si>
  <si>
    <t>このレビューを書くために、投稿者はどの程度の労力をかけたと思いますか。</t>
  </si>
  <si>
    <t>EFFORT_9</t>
  </si>
  <si>
    <t>perceived_effort</t>
  </si>
  <si>
    <t>YIN-EFFORT-SUM</t>
  </si>
  <si>
    <t>項目群の趣旨を単一項目化</t>
  </si>
  <si>
    <t>全レビューに入れると負担大。ランキング要因の補助分析。</t>
  </si>
  <si>
    <t>E2_SUBJECTIVITY</t>
  </si>
  <si>
    <t>このレビューは、どの程度主観的だと思いますか。</t>
  </si>
  <si>
    <t>9件法・両極尺度</t>
  </si>
  <si>
    <t>SUBJECTIVITY_9</t>
  </si>
  <si>
    <t>perceived_subjectivity</t>
  </si>
  <si>
    <t>YIN-SUBJECTIVITY-SUM</t>
  </si>
  <si>
    <t>1=非常に客観的、9=非常に主観的。</t>
  </si>
  <si>
    <t>逐次信念</t>
  </si>
  <si>
    <t>E2_CUM_RATING</t>
  </si>
  <si>
    <t>ここまでに見たレビュー全体を踏まえると、このサービスの利用者全体による平均的な評価は、星いくつ程度だと思いますか。</t>
  </si>
  <si>
    <t>cumulative_expected_rating_t</t>
  </si>
  <si>
    <t>逐次信念へ適応</t>
  </si>
  <si>
    <t>各時点tで取得。</t>
  </si>
  <si>
    <t>E2_CUM_DIST</t>
  </si>
  <si>
    <t>t=1、3、5、L等の事前指定時点</t>
  </si>
  <si>
    <t>ここまでに見たレビュー全体を踏まえると、利用者100人のうち星1～星5を付ける人はそれぞれ何％だと思いますか。合計が100％になるよう入力してください。</t>
  </si>
  <si>
    <t>cumulative_dist_1to5_t</t>
  </si>
  <si>
    <t>逐次分布推定へ適応</t>
  </si>
  <si>
    <t>毎回聞くと負担が大きいため、事前指定のチェックポイントで取得。</t>
  </si>
  <si>
    <t>E2_CUM_CONF</t>
  </si>
  <si>
    <t>E2_CUM_DISTと同時</t>
  </si>
  <si>
    <t>cumulative_confidence_t</t>
  </si>
  <si>
    <t>分布推定の確信度。</t>
  </si>
  <si>
    <t>E2_BTS_INSTR</t>
  </si>
  <si>
    <t>全員が共通して見る1～2レビューのみ</t>
  </si>
  <si>
    <t>次の設問では、あなた自身の評価に加えて、同じレビューを見た他の参加者がどの回答を選ぶかを予測していただきます。追加報酬は、あなたの回答が集団の中でどのように現れたかと、予測の正確さに基づいて自動計算されます。ご自身の評価と予測をそのままお答えください。</t>
  </si>
  <si>
    <t>PRELEC-BTS-QUOTE; WEAVER-BTS-SUMを適応</t>
  </si>
  <si>
    <t>実際にBTS連動報酬を支払う場合のみ表示。基礎報酬とは分離し、追加報酬の上限・下限を明示。</t>
  </si>
  <si>
    <t>E2_BTS_OWN</t>
  </si>
  <si>
    <t>共通レビューの直後</t>
  </si>
  <si>
    <t>総合すると、このレビューはどの程度参考になりましたか。</t>
  </si>
  <si>
    <t>BTS_HELP_5</t>
  </si>
  <si>
    <t>bts_own_helpfulness</t>
  </si>
  <si>
    <t>YIN-HELP-1; PRELEC-BTS-QUOTE</t>
  </si>
  <si>
    <t>BTS用に5カテゴリへ適応</t>
  </si>
  <si>
    <t>9件法3項目の主要尺度とは別に、BTSのカテゴリ回答として使用。</t>
  </si>
  <si>
    <t>E2_BTS_PRED</t>
  </si>
  <si>
    <t>E2_BTS_OWNの直後</t>
  </si>
  <si>
    <t>同じレビューを見た参加者100人が、上の5つの選択肢を選ぶとしたら、それぞれ何％になると思いますか。合計が100％になるよう入力してください。</t>
  </si>
  <si>
    <t>bts_pred_1to5</t>
  </si>
  <si>
    <t>標準的なメタ予測形式</t>
  </si>
  <si>
    <t>同じreview_idごとに十分な人数を確保。表示順条件が異なる場合、文脈依存を避けるためBTS対象を共通位置に固定するか層別計算。</t>
  </si>
  <si>
    <t>最終信念</t>
  </si>
  <si>
    <t>E2_FINAL_RATING</t>
  </si>
  <si>
    <t>全L件の閲覧後</t>
  </si>
  <si>
    <t>すべてのレビューを見た後、このサービスの利用者全体による平均的な評価は、星いくつ程度だと思いますか。</t>
  </si>
  <si>
    <t>final_expected_rating</t>
  </si>
  <si>
    <t>最終信念へ適応</t>
  </si>
  <si>
    <t>最終点推定。</t>
  </si>
  <si>
    <t>E2_FINAL_DIST</t>
  </si>
  <si>
    <t>すべてのレビューを見た後、利用者100人のうち星1～星5を付ける人はそれぞれ何％だと思いますか。合計が100％になるよう入力してください。</t>
  </si>
  <si>
    <t>final_dist_1to5</t>
  </si>
  <si>
    <t>最終分布推定へ適応</t>
  </si>
  <si>
    <t>Oracle・公開・経験分布と比較。</t>
  </si>
  <si>
    <t>E2_FINAL_CONF</t>
  </si>
  <si>
    <t>final_confidence</t>
  </si>
  <si>
    <t>信念の確信度。</t>
  </si>
  <si>
    <t>フィード評価</t>
  </si>
  <si>
    <t>E2_REPRESENTATIVE</t>
  </si>
  <si>
    <t>表示されたレビュー全体は、このサービスの利用者全体の意見をどの程度代表していると思いますか。</t>
  </si>
  <si>
    <t>REPRESENTATIVE_7</t>
  </si>
  <si>
    <t>perceived_representativeness</t>
  </si>
  <si>
    <t>主観的な代表性。</t>
  </si>
  <si>
    <t>E2_BIAS_DIRECTION</t>
  </si>
  <si>
    <t>表示されたレビュー全体は、利用者全体の評価と比べて、どちらの方向に偏っていると思いますか。</t>
  </si>
  <si>
    <t>BIAS_DIRECTION_7</t>
  </si>
  <si>
    <t>perceived_bias_direction</t>
  </si>
  <si>
    <t>1=実際よりかなり否定的、4=偏りなし、7=実際よりかなり肯定的。</t>
  </si>
  <si>
    <t>行動意図</t>
  </si>
  <si>
    <t>E2_USE_INTENT</t>
  </si>
  <si>
    <t>機会があれば、このサービスを利用してみたいと思いますか。</t>
  </si>
  <si>
    <t>use_intention</t>
  </si>
  <si>
    <t>レビュー分布の実務的帰結。既利用者には継続利用意図へ分岐。</t>
  </si>
  <si>
    <t>アルゴリズム認知</t>
  </si>
  <si>
    <t>E2_ALGO_TRUST</t>
  </si>
  <si>
    <t>レビューの表示順を決める仕組みを、どの程度信頼できると思いますか。</t>
  </si>
  <si>
    <t>algorithm_trust</t>
  </si>
  <si>
    <t>処置説明の程度を全条件でそろえる。</t>
  </si>
  <si>
    <t>記憶・注意</t>
  </si>
  <si>
    <t>E2_RECALL_CHECK</t>
  </si>
  <si>
    <t>先ほど表示されたレビューの中に含まれていた内容を選んでください。</t>
  </si>
  <si>
    <t>実レビュー要約1件＋フィラー3件</t>
  </si>
  <si>
    <t>review_recall_check</t>
  </si>
  <si>
    <t>YINの記憶再認項目を参考</t>
  </si>
  <si>
    <t>概念を適応</t>
  </si>
  <si>
    <t>特定の評価方向と結びつかない内容で作成。</t>
  </si>
  <si>
    <t>レビュー態度</t>
  </si>
  <si>
    <t>E2_REVIEW_RELIANCE</t>
  </si>
  <si>
    <t>事前に聞くと閲覧行動をプライミングするため最後に配置。</t>
  </si>
  <si>
    <t>E2_REVIEW_TRUST</t>
  </si>
  <si>
    <t>一般的態度。</t>
  </si>
  <si>
    <t>E2_GENDER</t>
  </si>
  <si>
    <t>E2_EDUCATION</t>
  </si>
  <si>
    <t>在学中を含む。</t>
  </si>
  <si>
    <t>E2_EMPLOYMENT</t>
  </si>
  <si>
    <t>E2_REGION</t>
  </si>
  <si>
    <t>E2_COMMENT</t>
  </si>
  <si>
    <t>表示不具合・不自然なレビューの検知。</t>
  </si>
  <si>
    <t>出典対照表｜短い原文・自然な日本語訳・本研究への適応</t>
  </si>
  <si>
    <t>原文欄は著作権上必要最小限の短い引用または要約。実装前にリンク先の原文・付録で語句と尺度を再確認する。</t>
  </si>
  <si>
    <t>構成概念</t>
  </si>
  <si>
    <t>原文種別</t>
  </si>
  <si>
    <t>原文（英語：短い引用または要約）</t>
  </si>
  <si>
    <t>本研究での推奨設問</t>
  </si>
  <si>
    <t>原尺度</t>
  </si>
  <si>
    <t>論文</t>
  </si>
  <si>
    <t>著者</t>
  </si>
  <si>
    <t>雑誌</t>
  </si>
  <si>
    <t>書誌</t>
  </si>
  <si>
    <t>掲載誌区分</t>
  </si>
  <si>
    <t>確認箇所</t>
  </si>
  <si>
    <t>DOI・公式URL</t>
  </si>
  <si>
    <t>オンラインで読めるURL</t>
  </si>
  <si>
    <t>使用上の注記</t>
  </si>
  <si>
    <t>レビュー対象の自己選択</t>
  </si>
  <si>
    <t>短い原文引用</t>
  </si>
  <si>
    <t>“most likely to write a review for”</t>
  </si>
  <si>
    <t>「レビューを書く可能性が最も高い」</t>
  </si>
  <si>
    <t>先ほど評価したJ件のうち、実際にオンラインレビューを書くとしたら、どのK件を公開しますか。</t>
  </si>
  <si>
    <t>対象を1件選択</t>
  </si>
  <si>
    <t>The Extreme Distribution of Online Reviews: Prevalence, Drivers and Implications</t>
  </si>
  <si>
    <t>Schoenmueller, Netzer, and Stahl</t>
  </si>
  <si>
    <t>Journal of Marketing Research</t>
  </si>
  <si>
    <t>57(5), 853–877, 2020</t>
  </si>
  <si>
    <t>トップ誌</t>
  </si>
  <si>
    <t>Web Appendix, Study 2 questionnaire</t>
  </si>
  <si>
    <t>https://doi.org/10.1177/0022243720941832</t>
  </si>
  <si>
    <t>https://www.columbia.edu/~on2110/Papers/Schoenmueller_Netzer_Stahl_2020_WA.pdf</t>
  </si>
  <si>
    <t>原研究は1対象の自己選択。本研究ではJ件からK件を選ぶ容量制約へ拡張。</t>
  </si>
  <si>
    <t>星評価</t>
  </si>
  <si>
    <t>“How would you rate the book?”</t>
  </si>
  <si>
    <t>「その本をどのように評価しますか。」</t>
  </si>
  <si>
    <t>現在までの利用経験全体を踏まえると、このサービスを何点で評価しますか。</t>
  </si>
  <si>
    <t>星1～星5</t>
  </si>
  <si>
    <t>bookをdigital serviceへ置換。</t>
  </si>
  <si>
    <t>利用時点・想起期間</t>
  </si>
  <si>
    <t>“Please indicate the approximate date when you have read the book.”</t>
  </si>
  <si>
    <t>「その本を読んだおおよその時期を示してください。」</t>
  </si>
  <si>
    <t>時期カテゴリ</t>
  </si>
  <si>
    <t>本研究では想起誤差を抑えるため、カレンダー日付よりカテゴリ回答を推奨。</t>
  </si>
  <si>
    <t>レビュー投稿経験</t>
  </si>
  <si>
    <t>原文要約</t>
  </si>
  <si>
    <t>[要約] 過去12か月に投稿したレビュー件数を数値で取得。</t>
  </si>
  <si>
    <t>過去12か月のレビュー投稿件数。</t>
  </si>
  <si>
    <t>数値回答</t>
  </si>
  <si>
    <t>Web Appendix, covariates</t>
  </si>
  <si>
    <t>原文の長い設問は転載せず、概念を事実質問として移植。</t>
  </si>
  <si>
    <t>レビュー投稿意向</t>
  </si>
  <si>
    <t>[要約] レビューを書く可能性を5段階で測定。</t>
  </si>
  <si>
    <t>レビューを書く可能性。</t>
  </si>
  <si>
    <t>Web Appendix, Study 3</t>
  </si>
  <si>
    <t>主実験で選択前に全対象へ聞くと需要効果が生じるため、別アームまたは選択後に限定。</t>
  </si>
  <si>
    <t>BHA-CONF-QUOTE</t>
  </si>
  <si>
    <t>期待確認</t>
  </si>
  <si>
    <t>“Overall, most of my expectations from using OBD were confirmed.”</t>
  </si>
  <si>
    <t>「全体として、利用前に抱いていた期待の大部分は確認された。」</t>
  </si>
  <si>
    <t>原論文は7件法の同意尺度</t>
  </si>
  <si>
    <t>Understanding Information Systems Continuance: An Expectation-Confirmation Model</t>
  </si>
  <si>
    <t>Bhattacherjee</t>
  </si>
  <si>
    <t>MIS Quarterly</t>
  </si>
  <si>
    <t>25(3), 351–370, 2001</t>
  </si>
  <si>
    <t>Appendix: Confirmation scale</t>
  </si>
  <si>
    <t>https://doi.org/10.2307/3250921</t>
  </si>
  <si>
    <t>https://misq.umn.edu/misq/article-pdf/25/3/351/4890/2_bhattacherjee.pdf</t>
  </si>
  <si>
    <t>本研究では、回顧的期待との差を直接解釈できる両極尺度へ変更。</t>
  </si>
  <si>
    <t>総合満足</t>
  </si>
  <si>
    <t>“How do you feel about your overall experience of OBD use?”</t>
  </si>
  <si>
    <t>「OBDを利用した経験全体について、どのように感じますか。」</t>
  </si>
  <si>
    <t>7件法の意味差判別尺度</t>
  </si>
  <si>
    <t>Appendix: Satisfaction scale</t>
  </si>
  <si>
    <t>J件すべてに入れると負担が大きいため、一部対象の妥当性確認に使用。</t>
  </si>
  <si>
    <t>OLI-DISCONF-QUOTE</t>
  </si>
  <si>
    <t>期待不一致</t>
  </si>
  <si>
    <t>Anchors: “much less than expected” / “much greater than expected”</t>
  </si>
  <si>
    <t>両端：「期待を大きく下回った」／「期待を大きく上回った」</t>
  </si>
  <si>
    <t>期待以下～期待以上の両極尺度</t>
  </si>
  <si>
    <t>A Cognitive Model of the Antecedents and Consequences of Satisfaction Decisions</t>
  </si>
  <si>
    <t>Oliver</t>
  </si>
  <si>
    <t>17(4), 460–469, 1980</t>
  </si>
  <si>
    <t>Measures of disconfirmation</t>
  </si>
  <si>
    <t>https://doi.org/10.1177/002224378001700405</t>
  </si>
  <si>
    <t>https://www.semanticscholar.org/paper/A-Cognitive-Model-of-the-Antecedents-and-of-Oliver/c27f62ac265a098e16b1582fb5e73c14df76908d</t>
  </si>
  <si>
    <t>原研究の期待不一致構成概念を、5件法の自然な日本語へ適応。</t>
  </si>
  <si>
    <t>レビュー参考度</t>
  </si>
  <si>
    <t>Anchors: “not at all helpful / very helpful”</t>
  </si>
  <si>
    <t>両端：「まったく参考にならない」／「非常に参考になる」</t>
  </si>
  <si>
    <t>このレビューはどの程度参考になりますか。</t>
  </si>
  <si>
    <t>Anxious or Angry? Effects of Discrete Emotions on the Perceived Helpfulness of Online Reviews</t>
  </si>
  <si>
    <t>Yin, Bond, and Zhang</t>
  </si>
  <si>
    <t>38(2), 539–560, 2014</t>
  </si>
  <si>
    <t>Experimental measures; reproduced in an author appendix</t>
  </si>
  <si>
    <t>https://doi.org/10.25300/MISQ/2014/38.2.10</t>
  </si>
  <si>
    <t>https://papers.ssrn.com/sol3/papers.cfm?abstract_id=2263561</t>
  </si>
  <si>
    <t>本研究では購入判断に関する参考度として文脈を明示。</t>
  </si>
  <si>
    <t>レビュー有用性</t>
  </si>
  <si>
    <t>Anchors: “not at all useful / very useful”</t>
  </si>
  <si>
    <t>両端：「まったく役に立たない」／「非常に役に立つ」</t>
  </si>
  <si>
    <t>YIN-HELP-1～3の平均を参考度尺度とする。</t>
  </si>
  <si>
    <t>レビュー情報性</t>
  </si>
  <si>
    <t>Anchors: “not at all informative / very informative”</t>
  </si>
  <si>
    <t>両端：「まったく情報がない」／「非常に情報が豊富」</t>
  </si>
  <si>
    <t>日本語では「informative」を判断材料の情報量として具体化。</t>
  </si>
  <si>
    <t>知覚された認知的努力</t>
  </si>
  <si>
    <t>[要約] 投稿者がレビュー作成に費やした努力・思考・時間を複数項目で測定。</t>
  </si>
  <si>
    <t>レビュー作成にかけたと知覚される労力。</t>
  </si>
  <si>
    <t>原研究は複数項目の9件法</t>
  </si>
  <si>
    <t>Experimental measures</t>
  </si>
  <si>
    <t>本研究では任意の単一項目へ短縮。主尺度ではなく補助分析。</t>
  </si>
  <si>
    <t>知覚された主観性</t>
  </si>
  <si>
    <t>[要約] 客観的―主観的、偏りなし―偏りあり等の意味差判別項目。</t>
  </si>
  <si>
    <t>レビューがどの程度主観的に見えるか。</t>
  </si>
  <si>
    <t>短縮版のため、原尺度の完全な再現とは表記しない。</t>
  </si>
  <si>
    <t>ベイジアン自白剤</t>
  </si>
  <si>
    <t>“a personal answer and also a prediction of the empirical distribution of answers”; “surprisingly common”</t>
  </si>
  <si>
    <t>「自分自身の回答」と「回答分布の予測」を同時に取り、予測より意外に多い回答を評価する。</t>
  </si>
  <si>
    <t>自分の参考度を5段階で回答し、同じレビューを見た100人の回答割合を予測してください。</t>
  </si>
  <si>
    <t>カテゴリ回答＋回答分布予測</t>
  </si>
  <si>
    <t>A Bayesian Truth Serum for Subjective Data</t>
  </si>
  <si>
    <t>Prelec</t>
  </si>
  <si>
    <t>Science</t>
  </si>
  <si>
    <t>306(5695), 462–466, 2004</t>
  </si>
  <si>
    <t>Method and scoring rule</t>
  </si>
  <si>
    <t>https://doi.org/10.1126/science.1102081</t>
  </si>
  <si>
    <t>https://www.eecs.harvard.edu/cs286r/courses/fall12/papers/Prelec04.pdf</t>
  </si>
  <si>
    <t>共通設問を十分な人数が回答する必要がある。ゼロ頻度処理と報酬式を事前登録。</t>
  </si>
  <si>
    <t>WEAVER-BTS-SUM</t>
  </si>
  <si>
    <t>BTSの実験利用</t>
  </si>
  <si>
    <t>[要約] BTSを用いた調査報酬が、自己申告の真実性と注意深さを高め得るかを実験で検討。</t>
  </si>
  <si>
    <t>BTS連動の追加報酬による回答精度の向上。</t>
  </si>
  <si>
    <t>BTS対象項目に限り、回答と分布予測に基づく固定範囲の追加報酬を支払う。</t>
  </si>
  <si>
    <t>BTSを用いた報酬実験</t>
  </si>
  <si>
    <t>Creating Truth-Telling Incentives with the Bayesian Truth Serum</t>
  </si>
  <si>
    <t>Weaver and Prelec</t>
  </si>
  <si>
    <t>50(3), 289–302, 2013</t>
  </si>
  <si>
    <t>Experimental implementation</t>
  </si>
  <si>
    <t>https://doi.org/10.1509/jmr.09.0039</t>
  </si>
  <si>
    <t>https://nelmit.wordpress.com/wp-content/uploads/2016/10/creating-truth-telling.pdf</t>
  </si>
  <si>
    <t>BTSを導入しない条件と比較する場合は、期待報酬をそろえる。</t>
  </si>
  <si>
    <t>肯定的経験を共有する動機</t>
  </si>
  <si>
    <t>“I want to help others with my own positive experiences.”</t>
  </si>
  <si>
    <t>「自分の良い経験を伝えて、他の人の役に立ちたい。」</t>
  </si>
  <si>
    <t>オンラインレビューを書く理由として、上記がどの程度当てはまりますか。</t>
  </si>
  <si>
    <t>原研究はeWOM動機の複数項目尺度</t>
  </si>
  <si>
    <t>Electronic Word-of-Mouth via Consumer-Opinion Platforms: What Motivates Consumers to Articulate Themselves on the Internet?</t>
  </si>
  <si>
    <t>Hennig-Thurau et al.</t>
  </si>
  <si>
    <t>Journal of Interactive Marketing</t>
  </si>
  <si>
    <t>18(1), 38–52, 2004</t>
  </si>
  <si>
    <t>主要専門誌（補助）</t>
  </si>
  <si>
    <t>Scale item: concern for other consumers</t>
  </si>
  <si>
    <t>https://doi.org/10.1002/dir.10073</t>
  </si>
  <si>
    <t>https://www.researchgate.net/publication/227533678_Electronic_Word-of-Mouth_via_Consumer-Opinion_Platforms_What_Motivates_Consumers_to_Articulate_Themselves_on_the_Internet</t>
  </si>
  <si>
    <t>本研究では補助尺度。行動後に聞き、選択をプライミングしない。</t>
  </si>
  <si>
    <t>否定的経験を警告する動機</t>
  </si>
  <si>
    <t>“I want to warn others of bad products.”</t>
  </si>
  <si>
    <t>「悪い商品やサービスについて、他の人に注意を促したい。」</t>
  </si>
  <si>
    <t>商品をサービスへ拡張。</t>
  </si>
  <si>
    <t>その他の投稿動機</t>
  </si>
  <si>
    <t>[要約] 不満発散、報復、企業支援、社会的便益、経済的誘因等のeWOM動機。</t>
  </si>
  <si>
    <t>レビュー投稿に関する複数の動機。</t>
  </si>
  <si>
    <t>不満発散、特典獲得などがレビューを書く理由としてどの程度当てはまるか。</t>
  </si>
  <si>
    <t>複数項目尺度</t>
  </si>
  <si>
    <t>Motivation scale</t>
  </si>
  <si>
    <t>原尺度全体の再現ではなく、研究目的に必要な項目のみを適応。</t>
  </si>
  <si>
    <t>実験1スクリーニング｜デジタルサービス候補40件</t>
  </si>
  <si>
    <t>パイロット利用率をE列へ入力すると、20％未満を「差替候補」と表示する。カテゴリごとの利用率と重複機能も確認する。</t>
  </si>
  <si>
    <t>service_id</t>
  </si>
  <si>
    <t>カテゴリ</t>
  </si>
  <si>
    <t>サービス名</t>
  </si>
  <si>
    <t>スクリーニング表示名</t>
  </si>
  <si>
    <t>パイロット利用率（入力）</t>
  </si>
  <si>
    <t>自動判定</t>
  </si>
  <si>
    <t>備考</t>
  </si>
  <si>
    <t>COM01</t>
  </si>
  <si>
    <t>コミュニケーション・SNS</t>
  </si>
  <si>
    <t>LINE</t>
  </si>
  <si>
    <t>パイロット後に利用率・カテゴリ偏りを確認</t>
  </si>
  <si>
    <t>COM02</t>
  </si>
  <si>
    <t>Instagram</t>
  </si>
  <si>
    <t>COM03</t>
  </si>
  <si>
    <t>X</t>
  </si>
  <si>
    <t>X（旧Twitter）</t>
  </si>
  <si>
    <t>COM04</t>
  </si>
  <si>
    <t>TikTok</t>
  </si>
  <si>
    <t>COM05</t>
  </si>
  <si>
    <t>Facebook</t>
  </si>
  <si>
    <t>MED01</t>
  </si>
  <si>
    <t>動画・音楽</t>
  </si>
  <si>
    <t>YouTube</t>
  </si>
  <si>
    <t>MED02</t>
  </si>
  <si>
    <t>Netflix</t>
  </si>
  <si>
    <t>MED03</t>
  </si>
  <si>
    <t>Amazon Prime Video</t>
  </si>
  <si>
    <t>MED04</t>
  </si>
  <si>
    <t>TVer</t>
  </si>
  <si>
    <t>MED05</t>
  </si>
  <si>
    <t>Spotify</t>
  </si>
  <si>
    <t>EC01</t>
  </si>
  <si>
    <t>EC・フリマ</t>
  </si>
  <si>
    <t>Amazon.co.jp</t>
  </si>
  <si>
    <t>EC02</t>
  </si>
  <si>
    <t>楽天市場</t>
  </si>
  <si>
    <t>EC03</t>
  </si>
  <si>
    <t>Yahoo!ショッピング</t>
  </si>
  <si>
    <t>EC04</t>
  </si>
  <si>
    <t>メルカリ</t>
  </si>
  <si>
    <t>EC05</t>
  </si>
  <si>
    <t>ZOZOTOWN</t>
  </si>
  <si>
    <t>PAY01</t>
  </si>
  <si>
    <t>決済・金融</t>
  </si>
  <si>
    <t>PayPay</t>
  </si>
  <si>
    <t>PAY02</t>
  </si>
  <si>
    <t>楽天ペイ</t>
  </si>
  <si>
    <t>PAY03</t>
  </si>
  <si>
    <t>モバイルSuica</t>
  </si>
  <si>
    <t>PAY04</t>
  </si>
  <si>
    <t>PayPal</t>
  </si>
  <si>
    <t>PAY05</t>
  </si>
  <si>
    <t>銀行公式アプリ</t>
  </si>
  <si>
    <t>ご利用の銀行の公式アプリ</t>
  </si>
  <si>
    <t>INF01</t>
  </si>
  <si>
    <t>地図・生活情報</t>
  </si>
  <si>
    <t>Google Maps</t>
  </si>
  <si>
    <t>Google マップ</t>
  </si>
  <si>
    <t>INF02</t>
  </si>
  <si>
    <t>Yahoo! JAPAN</t>
  </si>
  <si>
    <t>INF03</t>
  </si>
  <si>
    <t>SmartNews</t>
  </si>
  <si>
    <t>INF04</t>
  </si>
  <si>
    <t>ウェザーニュース</t>
  </si>
  <si>
    <t>INF05</t>
  </si>
  <si>
    <t>クックパッド</t>
  </si>
  <si>
    <t>WRK01</t>
  </si>
  <si>
    <t>仕事・クラウド</t>
  </si>
  <si>
    <t>Zoom</t>
  </si>
  <si>
    <t>WRK02</t>
  </si>
  <si>
    <t>Microsoft Teams</t>
  </si>
  <si>
    <t>WRK03</t>
  </si>
  <si>
    <t>Slack</t>
  </si>
  <si>
    <t>WRK04</t>
  </si>
  <si>
    <t>Google Drive</t>
  </si>
  <si>
    <t>Google ドライブ</t>
  </si>
  <si>
    <t>WRK05</t>
  </si>
  <si>
    <t>Dropbox</t>
  </si>
  <si>
    <t>LIF01</t>
  </si>
  <si>
    <t>飲食・旅行</t>
  </si>
  <si>
    <t>Uber Eats</t>
  </si>
  <si>
    <t>LIF02</t>
  </si>
  <si>
    <t>出前館</t>
  </si>
  <si>
    <t>LIF03</t>
  </si>
  <si>
    <t>食べログ</t>
  </si>
  <si>
    <t>LIF04</t>
  </si>
  <si>
    <t>ホットペッパーグルメ</t>
  </si>
  <si>
    <t>LIF05</t>
  </si>
  <si>
    <t>楽天トラベル</t>
  </si>
  <si>
    <t>NEW01</t>
  </si>
  <si>
    <t>AI・制作・学習</t>
  </si>
  <si>
    <t>ChatGPT</t>
  </si>
  <si>
    <t>NEW02</t>
  </si>
  <si>
    <t>Gemini</t>
  </si>
  <si>
    <t>NEW03</t>
  </si>
  <si>
    <t>Canva</t>
  </si>
  <si>
    <t>NEW04</t>
  </si>
  <si>
    <t>note</t>
  </si>
  <si>
    <t>NEW05</t>
  </si>
  <si>
    <t>Duolingo</t>
  </si>
  <si>
    <t>分析用コードブック｜ロング形式・主要派生指標</t>
  </si>
  <si>
    <t>実験1は参加者×サービス、実験2は参加者×レビュー×時点を基本単位とする。式は事前登録用の定義であり、本番コードで再現する。</t>
  </si>
  <si>
    <t>実験</t>
  </si>
  <si>
    <t>分析単位</t>
  </si>
  <si>
    <t>型</t>
  </si>
  <si>
    <t>コーディング</t>
  </si>
  <si>
    <t>対応質問ID</t>
  </si>
  <si>
    <t>欠測規則</t>
  </si>
  <si>
    <t>派生式・定義</t>
  </si>
  <si>
    <t>主な用途</t>
  </si>
  <si>
    <t>participant_id</t>
  </si>
  <si>
    <t>1・2</t>
  </si>
  <si>
    <t>文字列</t>
  </si>
  <si>
    <t>匿名ID</t>
  </si>
  <si>
    <t>システム生成</t>
  </si>
  <si>
    <t>なし</t>
  </si>
  <si>
    <t>個人情報と分離して保存</t>
  </si>
  <si>
    <t>クラスタ・追跡</t>
  </si>
  <si>
    <t>1</t>
  </si>
  <si>
    <t>04_サービス候補のID</t>
  </si>
  <si>
    <t>対象外サービスは行を作らない</t>
  </si>
  <si>
    <t>J件のOracle対象を識別</t>
  </si>
  <si>
    <t>固定効果・カテゴリ分析</t>
  </si>
  <si>
    <t>eligibility_count</t>
  </si>
  <si>
    <t>整数</t>
  </si>
  <si>
    <t>0～40</t>
  </si>
  <si>
    <t>USE_STATUS_5のコード2～4の件数</t>
  </si>
  <si>
    <t>j_oracle</t>
  </si>
  <si>
    <t>原則10</t>
  </si>
  <si>
    <t>各人のOracle評価対象数</t>
  </si>
  <si>
    <t>設計記録</t>
  </si>
  <si>
    <t>例：3・5・10</t>
  </si>
  <si>
    <t>Oracle完了後に無作為割付</t>
  </si>
  <si>
    <t>容量効果</t>
  </si>
  <si>
    <t>1～5</t>
  </si>
  <si>
    <t>回答不能はNA</t>
  </si>
  <si>
    <t>回顧的な利用前期待</t>
  </si>
  <si>
    <t>期待・選択共変量</t>
  </si>
  <si>
    <t>原則なし</t>
  </si>
  <si>
    <t>公開選択前のOracle評価</t>
  </si>
  <si>
    <t>主要アウトカム</t>
  </si>
  <si>
    <t>-2～2</t>
  </si>
  <si>
    <t>直接測定した期待不一致</t>
  </si>
  <si>
    <t>expectation_gap</t>
  </si>
  <si>
    <t>数値</t>
  </si>
  <si>
    <t>-4～4</t>
  </si>
  <si>
    <t>派生</t>
  </si>
  <si>
    <t>元変数欠測時NA</t>
  </si>
  <si>
    <t>rating_private − expectation_pre</t>
  </si>
  <si>
    <t>extremity</t>
  </si>
  <si>
    <t>0～2</t>
  </si>
  <si>
    <t>rating_private欠測時NA</t>
  </si>
  <si>
    <t>ABS(rating_private − 3)</t>
  </si>
  <si>
    <t>極端性・自己選択</t>
  </si>
  <si>
    <t>1～7</t>
  </si>
  <si>
    <t>順序尺度。回数換算は事前規定</t>
  </si>
  <si>
    <t>共変量</t>
  </si>
  <si>
    <t>利用開始からの期間</t>
  </si>
  <si>
    <t>1～6</t>
  </si>
  <si>
    <t>値が大きいほど古い</t>
  </si>
  <si>
    <t>想起誤差統制</t>
  </si>
  <si>
    <t>1～4、9</t>
  </si>
  <si>
    <t>任意時NA</t>
  </si>
  <si>
    <t>無料・自己負担・組織負担等</t>
  </si>
  <si>
    <t>日常・仕事上の重要度</t>
  </si>
  <si>
    <t>選択共変量</t>
  </si>
  <si>
    <t>1・0・9</t>
  </si>
  <si>
    <t>過去の同一サービス投稿経験</t>
  </si>
  <si>
    <t>履歴統制</t>
  </si>
  <si>
    <t>回顧期待の確信度</t>
  </si>
  <si>
    <t>測定誤差分析</t>
  </si>
  <si>
    <t>二値</t>
  </si>
  <si>
    <t>1=選択、0=非選択</t>
  </si>
  <si>
    <t>各参加者でSUM=K</t>
  </si>
  <si>
    <t>主要選択アウトカム</t>
  </si>
  <si>
    <t>参加者×選択サービス</t>
  </si>
  <si>
    <t>1～K</t>
  </si>
  <si>
    <t>未実施時NA</t>
  </si>
  <si>
    <t>レビュー意向の順位</t>
  </si>
  <si>
    <t>順位選択モデル</t>
  </si>
  <si>
    <t>public_rating_main</t>
  </si>
  <si>
    <t>1～5またはNA</t>
  </si>
  <si>
    <t>非選択はNA</t>
  </si>
  <si>
    <t>selected_public=1ならrating_private</t>
  </si>
  <si>
    <t>純粋な選択歪み</t>
  </si>
  <si>
    <t>主アームではNA</t>
  </si>
  <si>
    <t>別アームで再回答した公開評価</t>
  </si>
  <si>
    <t>表出の歪み</t>
  </si>
  <si>
    <t>rating_shift</t>
  </si>
  <si>
    <t>再回答なしはNA</t>
  </si>
  <si>
    <t>rating_public_reask − rating_private</t>
  </si>
  <si>
    <t>公開文脈効果</t>
  </si>
  <si>
    <t>PII除去前の原文と公開版を別保存</t>
  </si>
  <si>
    <t>テキスト分析</t>
  </si>
  <si>
    <t>20～150字推奨</t>
  </si>
  <si>
    <t>PII除去前原文・公開版・修正ログを分離</t>
  </si>
  <si>
    <t>実験2刺激</t>
  </si>
  <si>
    <t>competitor_max_extremity</t>
  </si>
  <si>
    <t>他対象なしはNA</t>
  </si>
  <si>
    <t>MAX(extremity of all other J−1 services)</t>
  </si>
  <si>
    <t>competitor_top_score</t>
  </si>
  <si>
    <t>モデル依存</t>
  </si>
  <si>
    <t>構成変数欠測時NA</t>
  </si>
  <si>
    <t>他対象の予測選択効用の最大値</t>
  </si>
  <si>
    <t>競合経験効果</t>
  </si>
  <si>
    <t>0以上</t>
  </si>
  <si>
    <t>E1_REVIEW_WRITE_COUNT_12M / E2_REVIEW_WRITE_COUNT_12M</t>
  </si>
  <si>
    <t>極端値処理を事前登録</t>
  </si>
  <si>
    <t>経験異質性</t>
  </si>
  <si>
    <t>review_id</t>
  </si>
  <si>
    <t>2</t>
  </si>
  <si>
    <t>参加者×レビュー</t>
  </si>
  <si>
    <t>匿名レビューID</t>
  </si>
  <si>
    <t>実験1公開レビューと対応</t>
  </si>
  <si>
    <t>刺激固定効果</t>
  </si>
  <si>
    <t>random / helpfulness_ranked等</t>
  </si>
  <si>
    <t>無作為割付</t>
  </si>
  <si>
    <t>ランキング効果</t>
  </si>
  <si>
    <t>表示件数L</t>
  </si>
  <si>
    <t>固定または無作為割付</t>
  </si>
  <si>
    <t>フィード容量効果</t>
  </si>
  <si>
    <t>position_t</t>
  </si>
  <si>
    <t>1～L</t>
  </si>
  <si>
    <t>実際の表示位置</t>
  </si>
  <si>
    <t>逐次更新</t>
  </si>
  <si>
    <t>1～9</t>
  </si>
  <si>
    <t>参考度項目1</t>
  </si>
  <si>
    <t>ランキング入力・結果</t>
  </si>
  <si>
    <t>参考度項目2</t>
  </si>
  <si>
    <t>尺度</t>
  </si>
  <si>
    <t>参考度項目3</t>
  </si>
  <si>
    <t>helpfulness_mean</t>
  </si>
  <si>
    <t>3項目中2項目未満ならNA</t>
  </si>
  <si>
    <t>MEAN(helpful,useful,informative)</t>
  </si>
  <si>
    <t>主要参考度</t>
  </si>
  <si>
    <t>5成分</t>
  </si>
  <si>
    <t>各0～100</t>
  </si>
  <si>
    <t>合計不正は要修正</t>
  </si>
  <si>
    <t>レビュー閲覧前の星分布予測</t>
  </si>
  <si>
    <t>参加者×サービス×時点</t>
  </si>
  <si>
    <t>時点tまでの星分布予測</t>
  </si>
  <si>
    <t>逐次経験分布</t>
  </si>
  <si>
    <t>全レビュー後の星分布予測</t>
  </si>
  <si>
    <t>最終歪み</t>
  </si>
  <si>
    <t>expected_mean_t</t>
  </si>
  <si>
    <t>分布欠測時NA</t>
  </si>
  <si>
    <t>SUMPRODUCT({1,2,3,4,5},dist_t)/100</t>
  </si>
  <si>
    <t>分布の要約</t>
  </si>
  <si>
    <t>表示レビューの代表性</t>
  </si>
  <si>
    <t>認知された歪み</t>
  </si>
  <si>
    <t>-3～3</t>
  </si>
  <si>
    <t>負=否定方向、正=肯定方向</t>
  </si>
  <si>
    <t>認知された方向</t>
  </si>
  <si>
    <t>参加者×共通レビュー</t>
  </si>
  <si>
    <t>BTS非対象はNA</t>
  </si>
  <si>
    <t>個人回答</t>
  </si>
  <si>
    <t>BTS information score</t>
  </si>
  <si>
    <t>他者回答分布の予測</t>
  </si>
  <si>
    <t>BTS prediction score</t>
  </si>
  <si>
    <t>bts_pred_sum</t>
  </si>
  <si>
    <t>100</t>
  </si>
  <si>
    <t>SUM(bts_pred_1…5)</t>
  </si>
  <si>
    <t>入力品質</t>
  </si>
  <si>
    <t>oracle_p_s</t>
  </si>
  <si>
    <t>サービス×星s</t>
  </si>
  <si>
    <t>比率</t>
  </si>
  <si>
    <t>0～1</t>
  </si>
  <si>
    <t>該当なし</t>
  </si>
  <si>
    <t>全Oracle評価における星sの割合</t>
  </si>
  <si>
    <t>真の評価分布</t>
  </si>
  <si>
    <t>public_p_s</t>
  </si>
  <si>
    <t>選択された公開評価における星sの割合</t>
  </si>
  <si>
    <t>公開分布</t>
  </si>
  <si>
    <t>total_variation_public_oracle</t>
  </si>
  <si>
    <t>サービス</t>
  </si>
  <si>
    <t>0.5 × SUM_s ABS(public_p_s − oracle_p_s)</t>
  </si>
  <si>
    <t>分布歪み</t>
  </si>
  <si>
    <t>extremity_gap</t>
  </si>
  <si>
    <t>実数</t>
  </si>
  <si>
    <t>E(extremity|public) − E(extremity|oracle)</t>
  </si>
  <si>
    <t>極端化</t>
  </si>
  <si>
    <t>sequential_tv_t</t>
  </si>
  <si>
    <t>サービス×時点</t>
  </si>
  <si>
    <t>0.5 × SUM_s ABS(mean perceived_p_s,t − oracle_p_s)</t>
  </si>
  <si>
    <t>歪みの推移</t>
  </si>
  <si>
    <t>BTS実装テンプレ｜参考度5カテゴリ＋他者分布予測</t>
  </si>
  <si>
    <t>本テンプレは実装確認用。実際の報酬式、ゼロ頻度処理、同一review_id当たりの必要人数、追加報酬の上下限を事前登録する。</t>
  </si>
  <si>
    <t>実施条件</t>
  </si>
  <si>
    <t>全員が同一レビューを、同じ表示文脈・同じ位置で評価する。</t>
  </si>
  <si>
    <t>自分の回答は1～5のカテゴリ、予測は各カテゴリの割合で合計100％。</t>
  </si>
  <si>
    <t>3</t>
  </si>
  <si>
    <t>基本報酬とBTS追加報酬を分離し、追加報酬の期待値と上限を説明する。</t>
  </si>
  <si>
    <t>4</t>
  </si>
  <si>
    <t>0％を許す場合のlog(0)回避法（例：事前指定の小さな平滑化）を固定する。</t>
  </si>
  <si>
    <t>5</t>
  </si>
  <si>
    <t>標本が小さい場合は、標準BTSを機械的に用いず、小標本用手法またはシミュレーションを検討する。</t>
  </si>
  <si>
    <t>入力例・合計チェック</t>
  </si>
  <si>
    <t>own_cat</t>
  </si>
  <si>
    <t>pred_1</t>
  </si>
  <si>
    <t>pred_2</t>
  </si>
  <si>
    <t>pred_3</t>
  </si>
  <si>
    <t>pred_4</t>
  </si>
  <si>
    <t>pred_5</t>
  </si>
  <si>
    <t>pred_sum</t>
  </si>
  <si>
    <t>sum_check</t>
  </si>
  <si>
    <t>得点式の実装メモ</t>
  </si>
  <si>
    <t>記号</t>
  </si>
  <si>
    <t>x_k：カテゴリkの実測回答比率、p_ik：回答者iの予測比率、g_k：カテゴリkについての予測比率の幾何平均。</t>
  </si>
  <si>
    <t>情報得点</t>
  </si>
  <si>
    <t>ln(x_{own}/g_{own})。自分の回答が集団予測より意外に多いほど高い。</t>
  </si>
  <si>
    <t>予測得点</t>
  </si>
  <si>
    <t>Σ_k x_k ln(p_ik/x_k)。実測分布に近い予測ほど高い対数スコア。</t>
  </si>
  <si>
    <t>総得点</t>
  </si>
  <si>
    <t>情報得点＋予測得点（重み・平行移動・報酬換算は事前に固定）。</t>
  </si>
  <si>
    <t>重要</t>
  </si>
  <si>
    <t>0頻度・0予測では対数が定義されない。平滑化後の値で一貫して集計し、感度分析を行う。</t>
  </si>
  <si>
    <t>標本</t>
  </si>
  <si>
    <t>同一review_id・同一文脈で十分な人数を確保する。標準BTSの理論条件と小標本性能を別途確認する。</t>
  </si>
  <si>
    <t>回答選択肢・尺度コード</t>
  </si>
  <si>
    <t>質問票の「選択肢・尺度」列と尺度IDで対応する。日本語ラベルと数値コードをアンケート実装・分析の双方で共通利用する。</t>
  </si>
  <si>
    <t>尺度ID</t>
  </si>
  <si>
    <t>コード</t>
  </si>
  <si>
    <t>日本語ラベル</t>
  </si>
  <si>
    <t>英語対応・意味</t>
  </si>
  <si>
    <t>注記</t>
  </si>
  <si>
    <t>Yes</t>
  </si>
  <si>
    <t>No</t>
  </si>
  <si>
    <t>わからない／覚えていない</t>
  </si>
  <si>
    <t>Don't know</t>
  </si>
  <si>
    <t>同意する</t>
  </si>
  <si>
    <t>Consent</t>
  </si>
  <si>
    <t>同意しない</t>
  </si>
  <si>
    <t>Do not consent</t>
  </si>
  <si>
    <t>肯定的なレビューほど基本報酬が高くなる</t>
  </si>
  <si>
    <t>Incorrect</t>
  </si>
  <si>
    <t>正答はコード2。誤答時は説明を再表示。</t>
  </si>
  <si>
    <t>レビューの方向によって基本報酬は変わらない</t>
  </si>
  <si>
    <t>Correct</t>
  </si>
  <si>
    <t>わからない</t>
  </si>
  <si>
    <t>利用したことがない</t>
  </si>
  <si>
    <t>Never</t>
  </si>
  <si>
    <t>eligibilityは原則コード2～4。</t>
  </si>
  <si>
    <t>利用したことはあるが、最後の利用は1年以上前</t>
  </si>
  <si>
    <t>&gt;12 months ago</t>
  </si>
  <si>
    <t>過去1年に利用したが、過去3か月には利用していない</t>
  </si>
  <si>
    <t>Within 12 months</t>
  </si>
  <si>
    <t>過去3か月に利用したが、過去30日には利用していない</t>
  </si>
  <si>
    <t>Within 3 months</t>
  </si>
  <si>
    <t>過去30日に利用した</t>
  </si>
  <si>
    <t>Within 30 days</t>
  </si>
  <si>
    <t>非常に悪いサービスだと期待していた</t>
  </si>
  <si>
    <t>Very poor</t>
  </si>
  <si>
    <t>やや悪いサービスだと期待していた</t>
  </si>
  <si>
    <t>Poor</t>
  </si>
  <si>
    <t>どちらともいえない程度だと期待していた</t>
  </si>
  <si>
    <t>Neutral</t>
  </si>
  <si>
    <t>やや良いサービスだと期待していた</t>
  </si>
  <si>
    <t>Good</t>
  </si>
  <si>
    <t>非常に良いサービスだと期待していた</t>
  </si>
  <si>
    <t>Very good</t>
  </si>
  <si>
    <t>星1</t>
  </si>
  <si>
    <t>1 star</t>
  </si>
  <si>
    <t>星2</t>
  </si>
  <si>
    <t>2 stars</t>
  </si>
  <si>
    <t>星3</t>
  </si>
  <si>
    <t>3 stars</t>
  </si>
  <si>
    <t>星4</t>
  </si>
  <si>
    <t>4 stars</t>
  </si>
  <si>
    <t>星5</t>
  </si>
  <si>
    <t>5 stars</t>
  </si>
  <si>
    <t>期待を大きく下回った</t>
  </si>
  <si>
    <t>Much worse</t>
  </si>
  <si>
    <t>期待をやや下回った</t>
  </si>
  <si>
    <t>Somewhat worse</t>
  </si>
  <si>
    <t>期待どおりだった</t>
  </si>
  <si>
    <t>As expected</t>
  </si>
  <si>
    <t>期待をやや上回った</t>
  </si>
  <si>
    <t>Somewhat better</t>
  </si>
  <si>
    <t>期待を大きく上回った</t>
  </si>
  <si>
    <t>Much better</t>
  </si>
  <si>
    <t>過去12か月に1回</t>
  </si>
  <si>
    <t>Once</t>
  </si>
  <si>
    <t>年に2～5回程度</t>
  </si>
  <si>
    <t>2–5/year</t>
  </si>
  <si>
    <t>月に1回程度</t>
  </si>
  <si>
    <t>Monthly</t>
  </si>
  <si>
    <t>月に2～3回程度</t>
  </si>
  <si>
    <t>2–3/month</t>
  </si>
  <si>
    <t>週に1回程度</t>
  </si>
  <si>
    <t>Weekly</t>
  </si>
  <si>
    <t>週に2～3回程度</t>
  </si>
  <si>
    <t>2–3/week</t>
  </si>
  <si>
    <t>ほぼ毎日</t>
  </si>
  <si>
    <t>Almost daily</t>
  </si>
  <si>
    <t>1か月未満</t>
  </si>
  <si>
    <t>&lt;1 month</t>
  </si>
  <si>
    <t>1～3か月</t>
  </si>
  <si>
    <t>1–3 months</t>
  </si>
  <si>
    <t>4～6か月</t>
  </si>
  <si>
    <t>4–6 months</t>
  </si>
  <si>
    <t>7～12か月</t>
  </si>
  <si>
    <t>7–12 months</t>
  </si>
  <si>
    <t>1～2年</t>
  </si>
  <si>
    <t>1–2 years</t>
  </si>
  <si>
    <t>3～5年</t>
  </si>
  <si>
    <t>3–5 years</t>
  </si>
  <si>
    <t>6年以上</t>
  </si>
  <si>
    <t>6+ years</t>
  </si>
  <si>
    <t>今日</t>
  </si>
  <si>
    <t>Today</t>
  </si>
  <si>
    <t>過去7日以内</t>
  </si>
  <si>
    <t>Within 7 days</t>
  </si>
  <si>
    <t>8～30日前</t>
  </si>
  <si>
    <t>8–30 days</t>
  </si>
  <si>
    <t>1～3か月前</t>
  </si>
  <si>
    <t>4～12か月前</t>
  </si>
  <si>
    <t>4–12 months</t>
  </si>
  <si>
    <t>1年以上前</t>
  </si>
  <si>
    <t>&gt;1 year</t>
  </si>
  <si>
    <t>主に無料で利用</t>
  </si>
  <si>
    <t>Mainly free</t>
  </si>
  <si>
    <t>主に自分で料金を支払って利用</t>
  </si>
  <si>
    <t>Self-paid</t>
  </si>
  <si>
    <t>主に勤務先・学校等が料金を負担</t>
  </si>
  <si>
    <t>Organization-paid</t>
  </si>
  <si>
    <t>無料版と有料版の両方を利用</t>
  </si>
  <si>
    <t>Both free and paid</t>
  </si>
  <si>
    <t>わからない／その他</t>
  </si>
  <si>
    <t>Other/unknown</t>
  </si>
  <si>
    <t>まったく重要でない</t>
  </si>
  <si>
    <t>Not at all</t>
  </si>
  <si>
    <t>あまり重要でない</t>
  </si>
  <si>
    <t>Slightly</t>
  </si>
  <si>
    <t>どちらともいえない</t>
  </si>
  <si>
    <t>やや重要</t>
  </si>
  <si>
    <t>Moderately</t>
  </si>
  <si>
    <t>非常に重要</t>
  </si>
  <si>
    <t>Very</t>
  </si>
  <si>
    <t>まったく自信がない</t>
  </si>
  <si>
    <t>Not at all confident</t>
  </si>
  <si>
    <t>あまり自信がない</t>
  </si>
  <si>
    <t>やや自信がある</t>
  </si>
  <si>
    <t>Confident</t>
  </si>
  <si>
    <t>非常に自信がある</t>
  </si>
  <si>
    <t>Very confident</t>
  </si>
  <si>
    <t>非常に不満</t>
  </si>
  <si>
    <t>Very dissatisfied</t>
  </si>
  <si>
    <t>6</t>
  </si>
  <si>
    <t>非常に満足</t>
  </si>
  <si>
    <t>Very satisfied</t>
  </si>
  <si>
    <t>まったくない</t>
  </si>
  <si>
    <t>Not at all likely</t>
  </si>
  <si>
    <t>低い</t>
  </si>
  <si>
    <t>Unlikely</t>
  </si>
  <si>
    <t>高い</t>
  </si>
  <si>
    <t>Likely</t>
  </si>
  <si>
    <t>非常に高い</t>
  </si>
  <si>
    <t>Very likely</t>
  </si>
  <si>
    <t>K_TREATMENT</t>
  </si>
  <si>
    <t>K=3</t>
  </si>
  <si>
    <t>3 slots</t>
  </si>
  <si>
    <t>パイロット結果に応じて水準変更可。</t>
  </si>
  <si>
    <t>K=5</t>
  </si>
  <si>
    <t>5 slots</t>
  </si>
  <si>
    <t>K=10</t>
  </si>
  <si>
    <t>10 slots</t>
  </si>
  <si>
    <t>J件すべての評価が公開される</t>
  </si>
  <si>
    <t>正答はコード2。</t>
  </si>
  <si>
    <t>自分が選んだK件の星評価と本文だけが公開される可能性がある</t>
  </si>
  <si>
    <t>強く良い経験だった</t>
  </si>
  <si>
    <t>Strong positive</t>
  </si>
  <si>
    <t>複数回答。</t>
  </si>
  <si>
    <t>強く悪い経験だった</t>
  </si>
  <si>
    <t>Strong negative</t>
  </si>
  <si>
    <t>他の人に役立つと思った</t>
  </si>
  <si>
    <t>Helpful to others</t>
  </si>
  <si>
    <t>最近利用した</t>
  </si>
  <si>
    <t>Recent</t>
  </si>
  <si>
    <t>書きやすいと思った</t>
  </si>
  <si>
    <t>Easy to write</t>
  </si>
  <si>
    <t>自分にとって重要だった</t>
  </si>
  <si>
    <t>Important</t>
  </si>
  <si>
    <t>典型的な経験だと思った</t>
  </si>
  <si>
    <t>Representative</t>
  </si>
  <si>
    <t>その他</t>
  </si>
  <si>
    <t>Other</t>
  </si>
  <si>
    <t>評価が中程度だった</t>
  </si>
  <si>
    <t>Moderate</t>
  </si>
  <si>
    <t>利用経験を詳しく思い出せない</t>
  </si>
  <si>
    <t>Low recall</t>
  </si>
  <si>
    <t>文章にしにくい</t>
  </si>
  <si>
    <t>Hard to write</t>
  </si>
  <si>
    <t>他に優先したいサービスがあった</t>
  </si>
  <si>
    <t>Crowded out</t>
  </si>
  <si>
    <t>公開するほど重要でない</t>
  </si>
  <si>
    <t>Low importance</t>
  </si>
  <si>
    <t>個人的すぎて書きたくない</t>
  </si>
  <si>
    <t>Private</t>
  </si>
  <si>
    <t>まったく読まない</t>
  </si>
  <si>
    <t>年に数回未満</t>
  </si>
  <si>
    <t>Less than a few/year</t>
  </si>
  <si>
    <t>年に数回</t>
  </si>
  <si>
    <t>A few/year</t>
  </si>
  <si>
    <t>月に数回</t>
  </si>
  <si>
    <t>A few/month</t>
  </si>
  <si>
    <t>週に数回</t>
  </si>
  <si>
    <t>A few/week</t>
  </si>
  <si>
    <t>まったく利用しない</t>
  </si>
  <si>
    <t>中程度</t>
  </si>
  <si>
    <t>非常によく利用する</t>
  </si>
  <si>
    <t>Very much</t>
  </si>
  <si>
    <t>まったく信頼できない</t>
  </si>
  <si>
    <t>Not at all trustworthy</t>
  </si>
  <si>
    <t>非常に信頼できる</t>
  </si>
  <si>
    <t>Very trustworthy</t>
  </si>
  <si>
    <t>まったく負担でない</t>
  </si>
  <si>
    <t>No burden</t>
  </si>
  <si>
    <t>非常に負担である</t>
  </si>
  <si>
    <t>Very burdensome</t>
  </si>
  <si>
    <t>まったく当てはまらない</t>
  </si>
  <si>
    <t>Strongly disagree</t>
  </si>
  <si>
    <t>非常によく当てはまる</t>
  </si>
  <si>
    <t>Strongly agree</t>
  </si>
  <si>
    <t>男性</t>
  </si>
  <si>
    <t>Man</t>
  </si>
  <si>
    <t>女性</t>
  </si>
  <si>
    <t>Woman</t>
  </si>
  <si>
    <t>ノンバイナリー／その他</t>
  </si>
  <si>
    <t>Nonbinary/other</t>
  </si>
  <si>
    <t>回答しない</t>
  </si>
  <si>
    <t>Prefer not to say</t>
  </si>
  <si>
    <t>Self-describe</t>
  </si>
  <si>
    <t>中学校以下</t>
  </si>
  <si>
    <t>Junior high</t>
  </si>
  <si>
    <t>高等学校</t>
  </si>
  <si>
    <t>High school</t>
  </si>
  <si>
    <t>専門学校・短期大学・高等専門学校</t>
  </si>
  <si>
    <t>Vocational/junior college</t>
  </si>
  <si>
    <t>大学</t>
  </si>
  <si>
    <t>University</t>
  </si>
  <si>
    <t>大学院修士課程</t>
  </si>
  <si>
    <t>Master</t>
  </si>
  <si>
    <t>大学院博士課程</t>
  </si>
  <si>
    <t>Doctorate</t>
  </si>
  <si>
    <t>その他／回答しない</t>
  </si>
  <si>
    <t>正規雇用</t>
  </si>
  <si>
    <t>Regular employee</t>
  </si>
  <si>
    <t>非正規雇用</t>
  </si>
  <si>
    <t>Nonregular</t>
  </si>
  <si>
    <t>自営業・会社経営</t>
  </si>
  <si>
    <t>Self-employed</t>
  </si>
  <si>
    <t>学生</t>
  </si>
  <si>
    <t>Student</t>
  </si>
  <si>
    <t>専業主婦・主夫</t>
  </si>
  <si>
    <t>Homemaker</t>
  </si>
  <si>
    <t>無職</t>
  </si>
  <si>
    <t>Unemployed</t>
  </si>
  <si>
    <t>退職</t>
  </si>
  <si>
    <t>Retired</t>
  </si>
  <si>
    <t>北海道</t>
  </si>
  <si>
    <t>Hokkaido</t>
  </si>
  <si>
    <t>東北</t>
  </si>
  <si>
    <t>Tohoku</t>
  </si>
  <si>
    <t>関東</t>
  </si>
  <si>
    <t>Kanto</t>
  </si>
  <si>
    <t>中部</t>
  </si>
  <si>
    <t>Chubu</t>
  </si>
  <si>
    <t>近畿</t>
  </si>
  <si>
    <t>Kinki</t>
  </si>
  <si>
    <t>中国</t>
  </si>
  <si>
    <t>Chugoku</t>
  </si>
  <si>
    <t>四国</t>
  </si>
  <si>
    <t>Shikoku</t>
  </si>
  <si>
    <t>九州・沖縄</t>
  </si>
  <si>
    <t>Kyushu/Okinawa</t>
  </si>
  <si>
    <t>Prefer not</t>
  </si>
  <si>
    <t>200万円未満</t>
  </si>
  <si>
    <t>&lt;2m JPY</t>
  </si>
  <si>
    <t>200～399万円</t>
  </si>
  <si>
    <t>2–3.99m</t>
  </si>
  <si>
    <t>400～599万円</t>
  </si>
  <si>
    <t>4–5.99m</t>
  </si>
  <si>
    <t>600～799万円</t>
  </si>
  <si>
    <t>6–7.99m</t>
  </si>
  <si>
    <t>800～999万円</t>
  </si>
  <si>
    <t>8–9.99m</t>
  </si>
  <si>
    <t>1,000～1,199万円</t>
  </si>
  <si>
    <t>10–11.99m</t>
  </si>
  <si>
    <t>1,200～1,499万円</t>
  </si>
  <si>
    <t>12–14.99m</t>
  </si>
  <si>
    <t>1,500～1,999万円</t>
  </si>
  <si>
    <t>15–19.99m</t>
  </si>
  <si>
    <t>2,000万円以上</t>
  </si>
  <si>
    <t>20m+</t>
  </si>
  <si>
    <t>試したことだけある</t>
  </si>
  <si>
    <t>Tried only</t>
  </si>
  <si>
    <t>以前は継続利用していた</t>
  </si>
  <si>
    <t>Former user</t>
  </si>
  <si>
    <t>現在利用している</t>
  </si>
  <si>
    <t>Current user</t>
  </si>
  <si>
    <t>まったく知らなかった</t>
  </si>
  <si>
    <t>名前だけ知っていた</t>
  </si>
  <si>
    <t>Name only</t>
  </si>
  <si>
    <t>少し知っていた</t>
  </si>
  <si>
    <t>よく知っていた</t>
  </si>
  <si>
    <t>Well</t>
  </si>
  <si>
    <t>非常によく知っていた</t>
  </si>
  <si>
    <t>Very well</t>
  </si>
  <si>
    <t>レビューは1件ずつ表示され、前の画面には戻れない</t>
  </si>
  <si>
    <t>すべてのレビューが最初から同時に表示される</t>
  </si>
  <si>
    <t>星1の割合（％）</t>
  </si>
  <si>
    <t>Share 1-star</t>
  </si>
  <si>
    <t>各欄0～100、合計100。</t>
  </si>
  <si>
    <t>星2の割合（％）</t>
  </si>
  <si>
    <t>Share 2-star</t>
  </si>
  <si>
    <t>星3の割合（％）</t>
  </si>
  <si>
    <t>Share 3-star</t>
  </si>
  <si>
    <t>星4の割合（％）</t>
  </si>
  <si>
    <t>Share 4-star</t>
  </si>
  <si>
    <t>星5の割合（％）</t>
  </si>
  <si>
    <t>Share 5-star</t>
  </si>
  <si>
    <t>まったく参考にならない</t>
  </si>
  <si>
    <t>Not at all helpful</t>
  </si>
  <si>
    <t>7</t>
  </si>
  <si>
    <t>8</t>
  </si>
  <si>
    <t>非常に参考になる</t>
  </si>
  <si>
    <t>Very helpful</t>
  </si>
  <si>
    <t>まったく役に立たない</t>
  </si>
  <si>
    <t>Not at all useful</t>
  </si>
  <si>
    <t>非常に役に立つ</t>
  </si>
  <si>
    <t>Very useful</t>
  </si>
  <si>
    <t>まったく情報がない</t>
  </si>
  <si>
    <t>Not at all informative</t>
  </si>
  <si>
    <t>非常に情報が豊富</t>
  </si>
  <si>
    <t>Very informative</t>
  </si>
  <si>
    <t>まったく労力をかけていない</t>
  </si>
  <si>
    <t>No effort</t>
  </si>
  <si>
    <t>非常に多くの労力をかけた</t>
  </si>
  <si>
    <t>Very high effort</t>
  </si>
  <si>
    <t>非常に客観的</t>
  </si>
  <si>
    <t>Very objective</t>
  </si>
  <si>
    <t>非常に主観的</t>
  </si>
  <si>
    <t>Very subjective</t>
  </si>
  <si>
    <t>まったく参考にならなかった</t>
  </si>
  <si>
    <t>あまり参考にならなかった</t>
  </si>
  <si>
    <t>Slightly not</t>
  </si>
  <si>
    <t>やや参考になった</t>
  </si>
  <si>
    <t>Somewhat</t>
  </si>
  <si>
    <t>非常に参考になった</t>
  </si>
  <si>
    <t>まったく代表していない</t>
  </si>
  <si>
    <t>非常によく代表している</t>
  </si>
  <si>
    <t>実際よりかなり否定的</t>
  </si>
  <si>
    <t>Much more negative</t>
  </si>
  <si>
    <t>実際よりやや否定的</t>
  </si>
  <si>
    <t>More negative</t>
  </si>
  <si>
    <t>実際より少し否定的</t>
  </si>
  <si>
    <t>Slightly negative</t>
  </si>
  <si>
    <t>偏りはない</t>
  </si>
  <si>
    <t>No bias</t>
  </si>
  <si>
    <t>実際より少し肯定的</t>
  </si>
  <si>
    <t>Slightly positive</t>
  </si>
  <si>
    <t>実際よりやや肯定的</t>
  </si>
  <si>
    <t>More positive</t>
  </si>
  <si>
    <t>実際よりかなり肯定的</t>
  </si>
  <si>
    <t>Much more 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</si>
</sst>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9">
    <font>
      <sz val="11"/>
      <name val="Carlito"/>
    </font>
    <font>
      <b/>
      <sz val="16"/>
      <color rgb="FFFFFFFF"/>
      <name val="Carlito"/>
    </font>
    <font>
      <i/>
      <sz val="10"/>
      <color rgb="FF1F2937"/>
      <name val="Carlito"/>
    </font>
    <font>
      <b/>
      <sz val="12"/>
      <color rgb="FF1F2937"/>
      <name val="Carlito"/>
    </font>
    <font>
      <b/>
      <sz val="10"/>
      <color rgb="FFFFFFFF"/>
      <name val="Carlito"/>
    </font>
    <font>
      <sz val="10"/>
      <color rgb="FF1F2937"/>
      <name val="Carlito"/>
    </font>
    <font>
      <b/>
      <sz val="10"/>
      <color rgb="FF1F4E78"/>
      <name val="Carlito"/>
    </font>
    <font>
      <sz val="11"/>
      <name val="Carlito"/>
    </font>
    <font>
      <sz val="6"/>
      <name val="Tsukushi A Round Gothic Bold"/>
      <family val="3"/>
      <charset val="128"/>
    </font>
  </fonts>
  <fills count="6">
    <fill>
      <patternFill patternType="none"/>
    </fill>
    <fill>
      <patternFill patternType="gray125"/>
    </fill>
    <fill>
      <patternFill patternType="solid">
        <fgColor rgb="FF1F4E78"/>
      </patternFill>
    </fill>
    <fill>
      <patternFill patternType="solid">
        <fgColor rgb="FFEAF2F8"/>
      </patternFill>
    </fill>
    <fill>
      <patternFill patternType="solid">
        <fgColor rgb="FFD9EAF7"/>
      </patternFill>
    </fill>
    <fill>
      <patternFill patternType="solid">
        <fgColor rgb="FF2F75B5"/>
      </patternFill>
    </fill>
  </fills>
  <borders count="9">
    <border>
      <left/>
      <right/>
      <top/>
      <bottom/>
      <diagonal/>
    </border>
    <border>
      <left style="thin">
        <color rgb="FFC9D3DC"/>
      </left>
      <right/>
      <top style="thin">
        <color rgb="FFC9D3DC"/>
      </top>
      <bottom style="thin">
        <color rgb="FFC9D3DC"/>
      </bottom>
      <diagonal/>
    </border>
    <border>
      <left/>
      <right/>
      <top style="thin">
        <color rgb="FFC9D3DC"/>
      </top>
      <bottom style="thin">
        <color rgb="FFC9D3DC"/>
      </bottom>
      <diagonal/>
    </border>
    <border>
      <left/>
      <right style="thin">
        <color rgb="FFC9D3DC"/>
      </right>
      <top style="thin">
        <color rgb="FFC9D3DC"/>
      </top>
      <bottom style="thin">
        <color rgb="FFC9D3DC"/>
      </bottom>
      <diagonal/>
    </border>
    <border>
      <left style="hair">
        <color rgb="FFC9D3DC"/>
      </left>
      <right/>
      <top/>
      <bottom/>
      <diagonal/>
    </border>
    <border>
      <left/>
      <right style="hair">
        <color rgb="FFC9D3DC"/>
      </right>
      <top/>
      <bottom/>
      <diagonal/>
    </border>
    <border>
      <left style="hair">
        <color rgb="FFC9D3DC"/>
      </left>
      <right/>
      <top/>
      <bottom style="hair">
        <color rgb="FFC9D3DC"/>
      </bottom>
      <diagonal/>
    </border>
    <border>
      <left/>
      <right/>
      <top/>
      <bottom style="hair">
        <color rgb="FFC9D3DC"/>
      </bottom>
      <diagonal/>
    </border>
    <border>
      <left/>
      <right style="hair">
        <color rgb="FFC9D3DC"/>
      </right>
      <top/>
      <bottom style="hair">
        <color rgb="FFC9D3DC"/>
      </bottom>
      <diagonal/>
    </border>
  </borders>
  <cellStyleXfs count="2">
    <xf numFmtId="0" fontId="0" fillId="0" borderId="0"/>
    <xf numFmtId="0" fontId="7" fillId="0" borderId="0"/>
  </cellStyleXfs>
  <cellXfs count="18">
    <xf numFmtId="0" fontId="0" fillId="0" borderId="0" xfId="0"/>
    <xf numFmtId="0" fontId="4" fillId="5" borderId="1" xfId="1" applyFont="1" applyFill="1" applyBorder="1" applyAlignment="1">
      <alignment horizontal="center" vertical="center" wrapText="1"/>
    </xf>
    <xf numFmtId="0" fontId="4" fillId="5" borderId="2" xfId="1" applyFont="1" applyFill="1" applyBorder="1" applyAlignment="1">
      <alignment horizontal="center" vertical="center" wrapText="1"/>
    </xf>
    <xf numFmtId="0" fontId="4" fillId="5" borderId="3" xfId="1" applyFont="1" applyFill="1" applyBorder="1" applyAlignment="1">
      <alignment horizontal="center" vertical="center" wrapText="1"/>
    </xf>
    <xf numFmtId="0" fontId="5" fillId="0" borderId="4" xfId="1" applyFont="1" applyBorder="1" applyAlignment="1">
      <alignment vertical="top" wrapText="1"/>
    </xf>
    <xf numFmtId="0" fontId="5" fillId="0" borderId="0" xfId="1" applyFont="1" applyAlignment="1">
      <alignment vertical="top" wrapText="1"/>
    </xf>
    <xf numFmtId="0" fontId="5" fillId="0" borderId="5" xfId="1" applyFont="1" applyBorder="1" applyAlignment="1">
      <alignment vertical="top" wrapText="1"/>
    </xf>
    <xf numFmtId="0" fontId="5" fillId="0" borderId="6" xfId="1" applyFont="1" applyBorder="1" applyAlignment="1">
      <alignment vertical="top" wrapText="1"/>
    </xf>
    <xf numFmtId="0" fontId="5" fillId="0" borderId="7" xfId="1" applyFont="1" applyBorder="1" applyAlignment="1">
      <alignment vertical="top" wrapText="1"/>
    </xf>
    <xf numFmtId="0" fontId="5" fillId="0" borderId="8" xfId="1" applyFont="1" applyBorder="1" applyAlignment="1">
      <alignment vertical="top" wrapText="1"/>
    </xf>
    <xf numFmtId="176" fontId="5" fillId="0" borderId="0" xfId="1" applyNumberFormat="1" applyFont="1" applyAlignment="1">
      <alignment vertical="top" wrapText="1"/>
    </xf>
    <xf numFmtId="176" fontId="5" fillId="0" borderId="7" xfId="1" applyNumberFormat="1" applyFont="1" applyBorder="1" applyAlignment="1">
      <alignment vertical="top" wrapText="1"/>
    </xf>
    <xf numFmtId="0" fontId="6" fillId="0" borderId="4" xfId="1" applyFont="1" applyBorder="1" applyAlignment="1">
      <alignment vertical="top" wrapText="1"/>
    </xf>
    <xf numFmtId="0" fontId="6" fillId="0" borderId="6" xfId="1" applyFont="1" applyBorder="1" applyAlignment="1">
      <alignment vertical="top" wrapText="1"/>
    </xf>
    <xf numFmtId="0" fontId="1" fillId="2" borderId="0" xfId="1" applyFont="1" applyFill="1" applyAlignment="1">
      <alignment horizontal="left" vertical="center" wrapText="1"/>
    </xf>
    <xf numFmtId="0" fontId="2" fillId="3" borderId="0" xfId="1" applyFont="1" applyFill="1" applyAlignment="1">
      <alignment horizontal="left" vertical="center" wrapText="1"/>
    </xf>
    <xf numFmtId="0" fontId="3" fillId="4" borderId="0" xfId="1" applyFont="1" applyFill="1" applyAlignment="1">
      <alignment vertical="center"/>
    </xf>
    <xf numFmtId="0" fontId="3" fillId="4" borderId="0" xfId="1" applyFont="1" applyFill="1"/>
  </cellXfs>
  <cellStyles count="2">
    <cellStyle name="Normal" xfId="1" xr:uid="{00000000-0005-0000-0000-000000000000}"/>
    <cellStyle name="標準" xfId="0" builtinId="0"/>
  </cellStyles>
  <dxfs count="15">
    <dxf>
      <font>
        <b/>
        <color rgb="FF9C0006"/>
      </font>
      <fill>
        <patternFill patternType="solid">
          <bgColor rgb="FFFCE4D6"/>
        </patternFill>
      </fill>
    </dxf>
    <dxf>
      <font>
        <b/>
        <color rgb="FF375623"/>
      </font>
      <fill>
        <patternFill patternType="solid">
          <bgColor rgb="FFE2F0D9"/>
        </patternFill>
      </fill>
    </dxf>
    <dxf>
      <font>
        <b/>
        <color rgb="FF9C0006"/>
      </font>
      <fill>
        <patternFill patternType="solid">
          <bgColor rgb="FFFCE4D6"/>
        </patternFill>
      </fill>
    </dxf>
    <dxf>
      <font>
        <color rgb="FF375623"/>
      </font>
      <fill>
        <patternFill patternType="solid">
          <bgColor rgb="FFE2F0D9"/>
        </patternFill>
      </fill>
    </dxf>
    <dxf>
      <fill>
        <patternFill patternType="solid">
          <bgColor rgb="FFFFF2CC"/>
        </patternFill>
      </fill>
    </dxf>
    <dxf>
      <font>
        <b/>
      </font>
      <fill>
        <patternFill patternType="solid">
          <bgColor rgb="FFE2F0D9"/>
        </patternFill>
      </fill>
    </dxf>
    <dxf>
      <fill>
        <patternFill patternType="solid">
          <bgColor rgb="FFEAF2F8"/>
        </patternFill>
      </fill>
    </dxf>
    <dxf>
      <font>
        <b/>
      </font>
      <fill>
        <patternFill patternType="solid">
          <bgColor rgb="FFFCE4D6"/>
        </patternFill>
      </fill>
    </dxf>
    <dxf>
      <font>
        <b/>
      </font>
      <fill>
        <patternFill patternType="solid">
          <bgColor rgb="FFDDEBF7"/>
        </patternFill>
      </fill>
    </dxf>
    <dxf>
      <font>
        <b/>
        <color rgb="FF7F6000"/>
      </font>
      <fill>
        <patternFill patternType="solid">
          <bgColor rgb="FFFFF2CC"/>
        </patternFill>
      </fill>
    </dxf>
    <dxf>
      <font>
        <b/>
        <color rgb="FF375623"/>
      </font>
      <fill>
        <patternFill patternType="solid">
          <bgColor rgb="FFE2F0D9"/>
        </patternFill>
      </fill>
    </dxf>
    <dxf>
      <font>
        <b/>
      </font>
      <fill>
        <patternFill patternType="solid">
          <bgColor rgb="FFFCE4D6"/>
        </patternFill>
      </fill>
    </dxf>
    <dxf>
      <font>
        <b/>
      </font>
      <fill>
        <patternFill patternType="solid">
          <bgColor rgb="FFDDEBF7"/>
        </patternFill>
      </fill>
    </dxf>
    <dxf>
      <font>
        <b/>
        <color rgb="FF7F6000"/>
      </font>
      <fill>
        <patternFill patternType="solid">
          <bgColor rgb="FFFFF2CC"/>
        </patternFill>
      </fill>
    </dxf>
    <dxf>
      <font>
        <b/>
        <color rgb="FF375623"/>
      </font>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xp1Questions" displayName="Exp1Questions" ref="A3:N52" totalsRowShown="0">
  <tableColumns count="14">
    <tableColumn id="1" xr3:uid="{00000000-0010-0000-0000-000001000000}" name="順序"/>
    <tableColumn id="2" xr3:uid="{00000000-0010-0000-0000-000002000000}" name="採用判断"/>
    <tableColumn id="3" xr3:uid="{00000000-0010-0000-0000-000003000000}" name="区分"/>
    <tableColumn id="4" xr3:uid="{00000000-0010-0000-0000-000004000000}" name="質問ID"/>
    <tableColumn id="5" xr3:uid="{00000000-0010-0000-0000-000005000000}" name="優先度"/>
    <tableColumn id="6" xr3:uid="{00000000-0010-0000-0000-000006000000}" name="表示条件・ループ"/>
    <tableColumn id="7" xr3:uid="{00000000-0010-0000-0000-000007000000}" name="回答者向け設問文（日本語）"/>
    <tableColumn id="8" xr3:uid="{00000000-0010-0000-0000-000008000000}" name="回答形式"/>
    <tableColumn id="9" xr3:uid="{00000000-0010-0000-0000-000009000000}" name="選択肢・尺度"/>
    <tableColumn id="10" xr3:uid="{00000000-0010-0000-0000-00000A000000}" name="必須"/>
    <tableColumn id="11" xr3:uid="{00000000-0010-0000-0000-00000B000000}" name="変数名"/>
    <tableColumn id="12" xr3:uid="{00000000-0010-0000-0000-00000C000000}" name="出典ID"/>
    <tableColumn id="13" xr3:uid="{00000000-0010-0000-0000-00000D000000}" name="原文との関係"/>
    <tableColumn id="14" xr3:uid="{00000000-0010-0000-0000-00000E000000}" name="分析・実装メモ"/>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xp2Questions" displayName="Exp2Questions" ref="A3:N45" totalsRowShown="0">
  <tableColumns count="14">
    <tableColumn id="1" xr3:uid="{00000000-0010-0000-0100-000001000000}" name="順序"/>
    <tableColumn id="2" xr3:uid="{00000000-0010-0000-0100-000002000000}" name="採用判断"/>
    <tableColumn id="3" xr3:uid="{00000000-0010-0000-0100-000003000000}" name="区分"/>
    <tableColumn id="4" xr3:uid="{00000000-0010-0000-0100-000004000000}" name="質問ID"/>
    <tableColumn id="5" xr3:uid="{00000000-0010-0000-0100-000005000000}" name="優先度"/>
    <tableColumn id="6" xr3:uid="{00000000-0010-0000-0100-000006000000}" name="表示条件・ループ"/>
    <tableColumn id="7" xr3:uid="{00000000-0010-0000-0100-000007000000}" name="回答者向け設問文（日本語）"/>
    <tableColumn id="8" xr3:uid="{00000000-0010-0000-0100-000008000000}" name="回答形式"/>
    <tableColumn id="9" xr3:uid="{00000000-0010-0000-0100-000009000000}" name="選択肢・尺度"/>
    <tableColumn id="10" xr3:uid="{00000000-0010-0000-0100-00000A000000}" name="必須"/>
    <tableColumn id="11" xr3:uid="{00000000-0010-0000-0100-00000B000000}" name="変数名"/>
    <tableColumn id="12" xr3:uid="{00000000-0010-0000-0100-00000C000000}" name="出典ID"/>
    <tableColumn id="13" xr3:uid="{00000000-0010-0000-0100-00000D000000}" name="原文との関係"/>
    <tableColumn id="14" xr3:uid="{00000000-0010-0000-0100-00000E000000}" name="分析・実装メモ"/>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ourceItems" displayName="SourceItems" ref="A3:P21" totalsRowShown="0">
  <tableColumns count="16">
    <tableColumn id="1" xr3:uid="{00000000-0010-0000-0200-000001000000}" name="出典ID"/>
    <tableColumn id="2" xr3:uid="{00000000-0010-0000-0200-000002000000}" name="構成概念"/>
    <tableColumn id="3" xr3:uid="{00000000-0010-0000-0200-000003000000}" name="原文種別"/>
    <tableColumn id="4" xr3:uid="{00000000-0010-0000-0200-000004000000}" name="原文（英語：短い引用または要約）"/>
    <tableColumn id="5" xr3:uid="{00000000-0010-0000-0200-000005000000}" name="自然な日本語訳"/>
    <tableColumn id="6" xr3:uid="{00000000-0010-0000-0200-000006000000}" name="本研究での推奨設問"/>
    <tableColumn id="7" xr3:uid="{00000000-0010-0000-0200-000007000000}" name="原尺度"/>
    <tableColumn id="8" xr3:uid="{00000000-0010-0000-0200-000008000000}" name="論文"/>
    <tableColumn id="9" xr3:uid="{00000000-0010-0000-0200-000009000000}" name="著者"/>
    <tableColumn id="10" xr3:uid="{00000000-0010-0000-0200-00000A000000}" name="雑誌"/>
    <tableColumn id="11" xr3:uid="{00000000-0010-0000-0200-00000B000000}" name="書誌"/>
    <tableColumn id="12" xr3:uid="{00000000-0010-0000-0200-00000C000000}" name="掲載誌区分"/>
    <tableColumn id="13" xr3:uid="{00000000-0010-0000-0200-00000D000000}" name="確認箇所"/>
    <tableColumn id="14" xr3:uid="{00000000-0010-0000-0200-00000E000000}" name="DOI・公式URL"/>
    <tableColumn id="15" xr3:uid="{00000000-0010-0000-0200-00000F000000}" name="オンラインで読めるURL"/>
    <tableColumn id="16" xr3:uid="{00000000-0010-0000-0200-000010000000}" name="使用上の注記"/>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erviceCandidates" displayName="ServiceCandidates" ref="A3:G43" totalsRowShown="0">
  <tableColumns count="7">
    <tableColumn id="1" xr3:uid="{00000000-0010-0000-0300-000001000000}" name="service_id"/>
    <tableColumn id="2" xr3:uid="{00000000-0010-0000-0300-000002000000}" name="カテゴリ"/>
    <tableColumn id="3" xr3:uid="{00000000-0010-0000-0300-000003000000}" name="サービス名"/>
    <tableColumn id="4" xr3:uid="{00000000-0010-0000-0300-000004000000}" name="スクリーニング表示名"/>
    <tableColumn id="5" xr3:uid="{00000000-0010-0000-0300-000005000000}" name="パイロット利用率（入力）"/>
    <tableColumn id="6" xr3:uid="{00000000-0010-0000-0300-000006000000}" name="自動判定"/>
    <tableColumn id="7" xr3:uid="{00000000-0010-0000-0300-000007000000}" name="備考"/>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odebook" displayName="Codebook" ref="A3:I52" totalsRowShown="0">
  <tableColumns count="9">
    <tableColumn id="1" xr3:uid="{00000000-0010-0000-0400-000001000000}" name="変数名"/>
    <tableColumn id="2" xr3:uid="{00000000-0010-0000-0400-000002000000}" name="実験"/>
    <tableColumn id="3" xr3:uid="{00000000-0010-0000-0400-000003000000}" name="分析単位"/>
    <tableColumn id="4" xr3:uid="{00000000-0010-0000-0400-000004000000}" name="型"/>
    <tableColumn id="5" xr3:uid="{00000000-0010-0000-0400-000005000000}" name="コーディング"/>
    <tableColumn id="6" xr3:uid="{00000000-0010-0000-0400-000006000000}" name="対応質問ID"/>
    <tableColumn id="7" xr3:uid="{00000000-0010-0000-0400-000007000000}" name="欠測規則"/>
    <tableColumn id="8" xr3:uid="{00000000-0010-0000-0400-000008000000}" name="派生式・定義"/>
    <tableColumn id="9" xr3:uid="{00000000-0010-0000-0400-000009000000}" name="主な用途"/>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BTSInput" displayName="BTSInput" ref="A12:K22" totalsRowShown="0">
  <tableColumns count="11">
    <tableColumn id="1" xr3:uid="{00000000-0010-0000-0500-000001000000}" name="participant_id"/>
    <tableColumn id="2" xr3:uid="{00000000-0010-0000-0500-000002000000}" name="review_id"/>
    <tableColumn id="3" xr3:uid="{00000000-0010-0000-0500-000003000000}" name="own_cat"/>
    <tableColumn id="4" xr3:uid="{00000000-0010-0000-0500-000004000000}" name="pred_1"/>
    <tableColumn id="5" xr3:uid="{00000000-0010-0000-0500-000005000000}" name="pred_2"/>
    <tableColumn id="6" xr3:uid="{00000000-0010-0000-0500-000006000000}" name="pred_3"/>
    <tableColumn id="7" xr3:uid="{00000000-0010-0000-0500-000007000000}" name="pred_4"/>
    <tableColumn id="8" xr3:uid="{00000000-0010-0000-0500-000008000000}" name="pred_5"/>
    <tableColumn id="9" xr3:uid="{00000000-0010-0000-0500-000009000000}" name="pred_sum"/>
    <tableColumn id="10" xr3:uid="{00000000-0010-0000-0500-00000A000000}" name="sum_check"/>
    <tableColumn id="11" xr3:uid="{00000000-0010-0000-0500-00000B000000}" name="備考"/>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ResponseOptions" displayName="ResponseOptions" ref="A3:F256" totalsRowShown="0">
  <tableColumns count="6">
    <tableColumn id="1" xr3:uid="{00000000-0010-0000-0600-000001000000}" name="尺度ID"/>
    <tableColumn id="2" xr3:uid="{00000000-0010-0000-0600-000002000000}" name="コード"/>
    <tableColumn id="3" xr3:uid="{00000000-0010-0000-0600-000003000000}" name="日本語ラベル"/>
    <tableColumn id="4" xr3:uid="{00000000-0010-0000-0600-000004000000}" name="英語対応・意味"/>
    <tableColumn id="5" xr3:uid="{00000000-0010-0000-0600-000005000000}" name="数値"/>
    <tableColumn id="6" xr3:uid="{00000000-0010-0000-0600-000006000000}" name="注記"/>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9"/>
  <sheetViews>
    <sheetView topLeftCell="A28" workbookViewId="0">
      <selection sqref="A1:J1"/>
    </sheetView>
  </sheetViews>
  <sheetFormatPr baseColWidth="10" defaultColWidth="8.83203125" defaultRowHeight="14"/>
  <cols>
    <col min="1" max="1" width="21" customWidth="1"/>
    <col min="2" max="2" width="30" customWidth="1"/>
    <col min="3" max="3" width="39" customWidth="1"/>
    <col min="4" max="4" width="35" customWidth="1"/>
    <col min="5" max="5" width="31" customWidth="1"/>
    <col min="6" max="10" width="8" customWidth="1"/>
  </cols>
  <sheetData>
    <row r="1" spans="1:10" ht="42.75" customHeight="1">
      <c r="A1" s="14" t="s">
        <v>0</v>
      </c>
      <c r="B1" s="14"/>
      <c r="C1" s="14"/>
      <c r="D1" s="14"/>
      <c r="E1" s="14"/>
      <c r="F1" s="14"/>
      <c r="G1" s="14"/>
      <c r="H1" s="14"/>
      <c r="I1" s="14"/>
      <c r="J1" s="14"/>
    </row>
    <row r="2" spans="1:10" ht="42.75" customHeight="1">
      <c r="A2" s="15" t="s">
        <v>1</v>
      </c>
      <c r="B2" s="15"/>
      <c r="C2" s="15"/>
      <c r="D2" s="15"/>
      <c r="E2" s="15"/>
      <c r="F2" s="15"/>
      <c r="G2" s="15"/>
      <c r="H2" s="15"/>
      <c r="I2" s="15"/>
      <c r="J2" s="15"/>
    </row>
    <row r="4" spans="1:10" ht="16">
      <c r="A4" s="16" t="s">
        <v>2</v>
      </c>
      <c r="B4" s="16"/>
      <c r="C4" s="16"/>
      <c r="D4" s="16"/>
      <c r="E4" s="16"/>
      <c r="F4" s="16"/>
      <c r="G4" s="16"/>
      <c r="H4" s="16"/>
      <c r="I4" s="16"/>
      <c r="J4" s="16"/>
    </row>
    <row r="5" spans="1:10">
      <c r="A5" s="1" t="s">
        <v>3</v>
      </c>
      <c r="B5" s="2" t="s">
        <v>4</v>
      </c>
      <c r="C5" s="2" t="s">
        <v>5</v>
      </c>
      <c r="D5" s="2" t="s">
        <v>6</v>
      </c>
      <c r="E5" s="3" t="s">
        <v>7</v>
      </c>
    </row>
    <row r="6" spans="1:10" ht="64" customHeight="1">
      <c r="A6" s="4" t="s">
        <v>8</v>
      </c>
      <c r="B6" s="5" t="s">
        <v>9</v>
      </c>
      <c r="C6" s="5" t="s">
        <v>10</v>
      </c>
      <c r="D6" s="5" t="s">
        <v>11</v>
      </c>
      <c r="E6" s="6" t="s">
        <v>12</v>
      </c>
    </row>
    <row r="7" spans="1:10" ht="64" customHeight="1">
      <c r="A7" s="4" t="s">
        <v>13</v>
      </c>
      <c r="B7" s="5" t="s">
        <v>14</v>
      </c>
      <c r="C7" s="5" t="s">
        <v>15</v>
      </c>
      <c r="D7" s="5" t="s">
        <v>16</v>
      </c>
      <c r="E7" s="6" t="s">
        <v>17</v>
      </c>
    </row>
    <row r="8" spans="1:10" ht="64" customHeight="1">
      <c r="A8" s="4" t="s">
        <v>18</v>
      </c>
      <c r="B8" s="5" t="s">
        <v>19</v>
      </c>
      <c r="C8" s="5" t="s">
        <v>20</v>
      </c>
      <c r="D8" s="5" t="s">
        <v>21</v>
      </c>
      <c r="E8" s="6" t="s">
        <v>22</v>
      </c>
    </row>
    <row r="9" spans="1:10" ht="64" customHeight="1">
      <c r="A9" s="4" t="s">
        <v>23</v>
      </c>
      <c r="B9" s="5" t="s">
        <v>24</v>
      </c>
      <c r="C9" s="5" t="s">
        <v>25</v>
      </c>
      <c r="D9" s="5" t="s">
        <v>26</v>
      </c>
      <c r="E9" s="6" t="s">
        <v>27</v>
      </c>
    </row>
    <row r="10" spans="1:10" ht="64" customHeight="1">
      <c r="A10" s="4" t="s">
        <v>28</v>
      </c>
      <c r="B10" s="5" t="s">
        <v>29</v>
      </c>
      <c r="C10" s="5" t="s">
        <v>30</v>
      </c>
      <c r="D10" s="5" t="s">
        <v>31</v>
      </c>
      <c r="E10" s="6" t="s">
        <v>32</v>
      </c>
    </row>
    <row r="11" spans="1:10" ht="64" customHeight="1">
      <c r="A11" s="4" t="s">
        <v>33</v>
      </c>
      <c r="B11" s="5" t="s">
        <v>34</v>
      </c>
      <c r="C11" s="5" t="s">
        <v>35</v>
      </c>
      <c r="D11" s="5" t="s">
        <v>36</v>
      </c>
      <c r="E11" s="6" t="s">
        <v>37</v>
      </c>
    </row>
    <row r="12" spans="1:10" ht="64" customHeight="1">
      <c r="A12" s="4" t="s">
        <v>38</v>
      </c>
      <c r="B12" s="5" t="s">
        <v>39</v>
      </c>
      <c r="C12" s="5" t="s">
        <v>40</v>
      </c>
      <c r="D12" s="5" t="s">
        <v>41</v>
      </c>
      <c r="E12" s="6" t="s">
        <v>42</v>
      </c>
    </row>
    <row r="13" spans="1:10" ht="64" customHeight="1">
      <c r="A13" s="7" t="s">
        <v>43</v>
      </c>
      <c r="B13" s="8" t="s">
        <v>44</v>
      </c>
      <c r="C13" s="8" t="s">
        <v>45</v>
      </c>
      <c r="D13" s="8" t="s">
        <v>46</v>
      </c>
      <c r="E13" s="9" t="s">
        <v>47</v>
      </c>
    </row>
    <row r="15" spans="1:10" ht="16">
      <c r="A15" s="17" t="s">
        <v>48</v>
      </c>
      <c r="B15" s="17"/>
      <c r="C15" s="17"/>
      <c r="D15" s="17"/>
      <c r="E15" s="17"/>
      <c r="F15" s="17"/>
      <c r="G15" s="17"/>
      <c r="H15" s="17"/>
      <c r="I15" s="17"/>
      <c r="J15" s="17"/>
    </row>
    <row r="16" spans="1:10">
      <c r="A16" s="1" t="s">
        <v>49</v>
      </c>
      <c r="B16" s="2" t="s">
        <v>50</v>
      </c>
      <c r="C16" s="2" t="s">
        <v>51</v>
      </c>
      <c r="D16" s="2" t="s">
        <v>52</v>
      </c>
      <c r="E16" s="3" t="s">
        <v>53</v>
      </c>
    </row>
    <row r="17" spans="1:10" ht="60" customHeight="1">
      <c r="A17" s="4" t="s">
        <v>54</v>
      </c>
      <c r="B17" s="5" t="s">
        <v>55</v>
      </c>
      <c r="C17" s="5" t="s">
        <v>56</v>
      </c>
      <c r="D17" s="5" t="s">
        <v>57</v>
      </c>
      <c r="E17" s="6" t="s">
        <v>58</v>
      </c>
    </row>
    <row r="18" spans="1:10" ht="60" customHeight="1">
      <c r="A18" s="4" t="s">
        <v>59</v>
      </c>
      <c r="B18" s="5" t="s">
        <v>60</v>
      </c>
      <c r="C18" s="5" t="s">
        <v>61</v>
      </c>
      <c r="D18" s="5" t="s">
        <v>62</v>
      </c>
      <c r="E18" s="6" t="s">
        <v>63</v>
      </c>
    </row>
    <row r="19" spans="1:10" ht="60" customHeight="1">
      <c r="A19" s="4" t="s">
        <v>64</v>
      </c>
      <c r="B19" s="5" t="s">
        <v>65</v>
      </c>
      <c r="C19" s="5" t="s">
        <v>66</v>
      </c>
      <c r="D19" s="5" t="s">
        <v>67</v>
      </c>
      <c r="E19" s="6" t="s">
        <v>68</v>
      </c>
    </row>
    <row r="20" spans="1:10" ht="60" customHeight="1">
      <c r="A20" s="4" t="s">
        <v>69</v>
      </c>
      <c r="B20" s="5" t="s">
        <v>70</v>
      </c>
      <c r="C20" s="5" t="s">
        <v>71</v>
      </c>
      <c r="D20" s="5" t="s">
        <v>57</v>
      </c>
      <c r="E20" s="6" t="s">
        <v>72</v>
      </c>
    </row>
    <row r="21" spans="1:10" ht="60" customHeight="1">
      <c r="A21" s="4" t="s">
        <v>73</v>
      </c>
      <c r="B21" s="5" t="s">
        <v>74</v>
      </c>
      <c r="C21" s="5" t="s">
        <v>75</v>
      </c>
      <c r="D21" s="5" t="s">
        <v>76</v>
      </c>
      <c r="E21" s="6" t="s">
        <v>77</v>
      </c>
    </row>
    <row r="22" spans="1:10" ht="60" customHeight="1">
      <c r="A22" s="7" t="s">
        <v>78</v>
      </c>
      <c r="B22" s="8" t="s">
        <v>79</v>
      </c>
      <c r="C22" s="8" t="s">
        <v>80</v>
      </c>
      <c r="D22" s="8" t="s">
        <v>57</v>
      </c>
      <c r="E22" s="9" t="s">
        <v>81</v>
      </c>
    </row>
    <row r="24" spans="1:10" ht="16">
      <c r="A24" s="17" t="s">
        <v>82</v>
      </c>
      <c r="B24" s="17"/>
      <c r="C24" s="17"/>
      <c r="D24" s="17"/>
      <c r="E24" s="17"/>
      <c r="F24" s="17"/>
      <c r="G24" s="17"/>
      <c r="H24" s="17"/>
      <c r="I24" s="17"/>
      <c r="J24" s="17"/>
    </row>
    <row r="25" spans="1:10">
      <c r="A25" s="1" t="s">
        <v>83</v>
      </c>
      <c r="B25" s="2" t="s">
        <v>84</v>
      </c>
      <c r="C25" s="3" t="s">
        <v>85</v>
      </c>
    </row>
    <row r="26" spans="1:10" ht="53.25" customHeight="1">
      <c r="A26" s="4" t="s">
        <v>86</v>
      </c>
      <c r="B26" s="5" t="s">
        <v>87</v>
      </c>
      <c r="C26" s="6" t="s">
        <v>88</v>
      </c>
    </row>
    <row r="27" spans="1:10" ht="53.25" customHeight="1">
      <c r="A27" s="4" t="s">
        <v>89</v>
      </c>
      <c r="B27" s="5" t="s">
        <v>90</v>
      </c>
      <c r="C27" s="6" t="s">
        <v>91</v>
      </c>
    </row>
    <row r="28" spans="1:10" ht="53.25" customHeight="1">
      <c r="A28" s="4" t="s">
        <v>92</v>
      </c>
      <c r="B28" s="5" t="s">
        <v>93</v>
      </c>
      <c r="C28" s="6" t="s">
        <v>94</v>
      </c>
    </row>
    <row r="29" spans="1:10" ht="53.25" customHeight="1">
      <c r="A29" s="4" t="s">
        <v>95</v>
      </c>
      <c r="B29" s="5" t="s">
        <v>96</v>
      </c>
      <c r="C29" s="6" t="s">
        <v>97</v>
      </c>
    </row>
    <row r="30" spans="1:10" ht="53.25" customHeight="1">
      <c r="A30" s="4" t="s">
        <v>98</v>
      </c>
      <c r="B30" s="5" t="s">
        <v>99</v>
      </c>
      <c r="C30" s="6" t="s">
        <v>100</v>
      </c>
    </row>
    <row r="31" spans="1:10" ht="53.25" customHeight="1">
      <c r="A31" s="4" t="s">
        <v>101</v>
      </c>
      <c r="B31" s="5" t="s">
        <v>102</v>
      </c>
      <c r="C31" s="6" t="s">
        <v>103</v>
      </c>
    </row>
    <row r="32" spans="1:10" ht="53.25" customHeight="1">
      <c r="A32" s="7" t="s">
        <v>104</v>
      </c>
      <c r="B32" s="8" t="s">
        <v>105</v>
      </c>
      <c r="C32" s="9" t="s">
        <v>106</v>
      </c>
    </row>
    <row r="34" spans="1:10" ht="16">
      <c r="A34" s="17" t="s">
        <v>107</v>
      </c>
      <c r="B34" s="17"/>
      <c r="C34" s="17"/>
      <c r="D34" s="17"/>
      <c r="E34" s="17"/>
      <c r="F34" s="17"/>
      <c r="G34" s="17"/>
      <c r="H34" s="17"/>
      <c r="I34" s="17"/>
      <c r="J34" s="17"/>
    </row>
    <row r="35" spans="1:10" ht="64" customHeight="1">
      <c r="A35" s="4" t="s">
        <v>108</v>
      </c>
      <c r="B35" s="6" t="s">
        <v>109</v>
      </c>
    </row>
    <row r="36" spans="1:10" ht="64" customHeight="1">
      <c r="A36" s="4" t="s">
        <v>110</v>
      </c>
      <c r="B36" s="6" t="s">
        <v>111</v>
      </c>
    </row>
    <row r="37" spans="1:10" ht="64" customHeight="1">
      <c r="A37" s="4" t="s">
        <v>112</v>
      </c>
      <c r="B37" s="6" t="s">
        <v>113</v>
      </c>
    </row>
    <row r="38" spans="1:10" ht="64" customHeight="1">
      <c r="A38" s="4" t="s">
        <v>114</v>
      </c>
      <c r="B38" s="6" t="s">
        <v>115</v>
      </c>
    </row>
    <row r="39" spans="1:10" ht="64" customHeight="1">
      <c r="A39" s="7" t="s">
        <v>116</v>
      </c>
      <c r="B39" s="9" t="s">
        <v>117</v>
      </c>
    </row>
  </sheetData>
  <mergeCells count="6">
    <mergeCell ref="A34:J34"/>
    <mergeCell ref="A1:J1"/>
    <mergeCell ref="A2:J2"/>
    <mergeCell ref="A4:J4"/>
    <mergeCell ref="A15:J15"/>
    <mergeCell ref="A24:J24"/>
  </mergeCells>
  <phoneticPr fontId="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2"/>
  <sheetViews>
    <sheetView tabSelected="1" workbookViewId="0">
      <selection sqref="A1:P1"/>
    </sheetView>
  </sheetViews>
  <sheetFormatPr baseColWidth="10" defaultColWidth="8.83203125" defaultRowHeight="14"/>
  <cols>
    <col min="1" max="1" width="6" customWidth="1"/>
    <col min="2" max="2" width="9" customWidth="1"/>
    <col min="3" max="3" width="14" customWidth="1"/>
    <col min="4" max="4" width="22" customWidth="1"/>
    <col min="5" max="5" width="12" customWidth="1"/>
    <col min="6" max="6" width="25" customWidth="1"/>
    <col min="7" max="7" width="46" customWidth="1"/>
    <col min="8" max="8" width="18" customWidth="1"/>
    <col min="9" max="9" width="29" customWidth="1"/>
    <col min="10" max="10" width="8" customWidth="1"/>
    <col min="11" max="11" width="25" customWidth="1"/>
    <col min="12" max="12" width="22" customWidth="1"/>
    <col min="13" max="13" width="24" customWidth="1"/>
    <col min="14" max="14" width="46" customWidth="1"/>
  </cols>
  <sheetData>
    <row r="1" spans="1:14" ht="40" customHeight="1">
      <c r="A1" s="14" t="s">
        <v>118</v>
      </c>
      <c r="B1" s="14"/>
      <c r="C1" s="14"/>
      <c r="D1" s="14"/>
      <c r="E1" s="14"/>
      <c r="F1" s="14"/>
      <c r="G1" s="14"/>
      <c r="H1" s="14"/>
      <c r="I1" s="14"/>
      <c r="J1" s="14"/>
      <c r="K1" s="14"/>
      <c r="L1" s="14"/>
      <c r="M1" s="14"/>
      <c r="N1" s="14"/>
    </row>
    <row r="2" spans="1:14" ht="50.75" customHeight="1">
      <c r="A2" s="15" t="s">
        <v>119</v>
      </c>
      <c r="B2" s="15"/>
      <c r="C2" s="15"/>
      <c r="D2" s="15"/>
      <c r="E2" s="15"/>
      <c r="F2" s="15"/>
      <c r="G2" s="15"/>
      <c r="H2" s="15"/>
      <c r="I2" s="15"/>
      <c r="J2" s="15"/>
      <c r="K2" s="15"/>
      <c r="L2" s="15"/>
      <c r="M2" s="15"/>
      <c r="N2" s="15"/>
    </row>
    <row r="3" spans="1:14" ht="45.25" customHeight="1">
      <c r="A3" s="1" t="s">
        <v>120</v>
      </c>
      <c r="B3" s="2" t="s">
        <v>121</v>
      </c>
      <c r="C3" s="2" t="s">
        <v>122</v>
      </c>
      <c r="D3" s="2" t="s">
        <v>123</v>
      </c>
      <c r="E3" s="2" t="s">
        <v>124</v>
      </c>
      <c r="F3" s="2" t="s">
        <v>125</v>
      </c>
      <c r="G3" s="2" t="s">
        <v>126</v>
      </c>
      <c r="H3" s="2" t="s">
        <v>127</v>
      </c>
      <c r="I3" s="2" t="s">
        <v>128</v>
      </c>
      <c r="J3" s="2" t="s">
        <v>129</v>
      </c>
      <c r="K3" s="2" t="s">
        <v>130</v>
      </c>
      <c r="L3" s="2" t="s">
        <v>131</v>
      </c>
      <c r="M3" s="2" t="s">
        <v>132</v>
      </c>
      <c r="N3" s="3" t="s">
        <v>133</v>
      </c>
    </row>
    <row r="4" spans="1:14" ht="77.25" customHeight="1">
      <c r="A4" s="4">
        <v>1</v>
      </c>
      <c r="B4" s="5" t="s">
        <v>134</v>
      </c>
      <c r="C4" s="5" t="s">
        <v>135</v>
      </c>
      <c r="D4" s="5" t="s">
        <v>136</v>
      </c>
      <c r="E4" s="5" t="s">
        <v>129</v>
      </c>
      <c r="F4" s="5" t="s">
        <v>137</v>
      </c>
      <c r="G4" s="5" t="s">
        <v>138</v>
      </c>
      <c r="H4" s="5" t="s">
        <v>139</v>
      </c>
      <c r="I4" s="5" t="s">
        <v>140</v>
      </c>
      <c r="J4" s="5" t="s">
        <v>140</v>
      </c>
      <c r="K4" s="5" t="s">
        <v>140</v>
      </c>
      <c r="L4" s="5" t="s">
        <v>140</v>
      </c>
      <c r="M4" s="5" t="s">
        <v>141</v>
      </c>
      <c r="N4" s="6" t="s">
        <v>142</v>
      </c>
    </row>
    <row r="5" spans="1:14" ht="77.25" customHeight="1">
      <c r="A5" s="4">
        <v>2</v>
      </c>
      <c r="B5" s="5" t="s">
        <v>134</v>
      </c>
      <c r="C5" s="5" t="s">
        <v>135</v>
      </c>
      <c r="D5" s="5" t="s">
        <v>143</v>
      </c>
      <c r="E5" s="5" t="s">
        <v>129</v>
      </c>
      <c r="F5" s="5" t="s">
        <v>137</v>
      </c>
      <c r="G5" s="5" t="s">
        <v>144</v>
      </c>
      <c r="H5" s="5" t="s">
        <v>139</v>
      </c>
      <c r="I5" s="5" t="s">
        <v>140</v>
      </c>
      <c r="J5" s="5" t="s">
        <v>140</v>
      </c>
      <c r="K5" s="5" t="s">
        <v>140</v>
      </c>
      <c r="L5" s="5" t="s">
        <v>140</v>
      </c>
      <c r="M5" s="5" t="s">
        <v>141</v>
      </c>
      <c r="N5" s="6" t="s">
        <v>145</v>
      </c>
    </row>
    <row r="6" spans="1:14" ht="77.25" customHeight="1">
      <c r="A6" s="4">
        <v>3</v>
      </c>
      <c r="B6" s="5" t="s">
        <v>134</v>
      </c>
      <c r="C6" s="5" t="s">
        <v>146</v>
      </c>
      <c r="D6" s="5" t="s">
        <v>147</v>
      </c>
      <c r="E6" s="5" t="s">
        <v>129</v>
      </c>
      <c r="F6" s="5" t="s">
        <v>148</v>
      </c>
      <c r="G6" s="5" t="s">
        <v>149</v>
      </c>
      <c r="H6" s="5" t="s">
        <v>150</v>
      </c>
      <c r="I6" s="5" t="s">
        <v>151</v>
      </c>
      <c r="J6" s="5" t="s">
        <v>152</v>
      </c>
      <c r="K6" s="5" t="s">
        <v>153</v>
      </c>
      <c r="L6" s="5" t="s">
        <v>140</v>
      </c>
      <c r="M6" s="5" t="s">
        <v>141</v>
      </c>
      <c r="N6" s="6" t="s">
        <v>154</v>
      </c>
    </row>
    <row r="7" spans="1:14" ht="77.25" customHeight="1">
      <c r="A7" s="4">
        <v>4</v>
      </c>
      <c r="B7" s="5" t="s">
        <v>134</v>
      </c>
      <c r="C7" s="5" t="s">
        <v>135</v>
      </c>
      <c r="D7" s="5" t="s">
        <v>155</v>
      </c>
      <c r="E7" s="5" t="s">
        <v>129</v>
      </c>
      <c r="F7" s="5" t="s">
        <v>137</v>
      </c>
      <c r="G7" s="5" t="s">
        <v>156</v>
      </c>
      <c r="H7" s="5" t="s">
        <v>150</v>
      </c>
      <c r="I7" s="5" t="s">
        <v>157</v>
      </c>
      <c r="J7" s="5" t="s">
        <v>152</v>
      </c>
      <c r="K7" s="5" t="s">
        <v>158</v>
      </c>
      <c r="L7" s="5" t="s">
        <v>140</v>
      </c>
      <c r="M7" s="5" t="s">
        <v>141</v>
      </c>
      <c r="N7" s="6" t="s">
        <v>159</v>
      </c>
    </row>
    <row r="8" spans="1:14" ht="77.25" customHeight="1">
      <c r="A8" s="4">
        <v>5</v>
      </c>
      <c r="B8" s="5" t="s">
        <v>134</v>
      </c>
      <c r="C8" s="5" t="s">
        <v>160</v>
      </c>
      <c r="D8" s="5" t="s">
        <v>161</v>
      </c>
      <c r="E8" s="5" t="s">
        <v>129</v>
      </c>
      <c r="F8" s="5" t="s">
        <v>137</v>
      </c>
      <c r="G8" s="5" t="s">
        <v>162</v>
      </c>
      <c r="H8" s="5" t="s">
        <v>163</v>
      </c>
      <c r="I8" s="5" t="s">
        <v>164</v>
      </c>
      <c r="J8" s="5" t="s">
        <v>152</v>
      </c>
      <c r="K8" s="5" t="s">
        <v>165</v>
      </c>
      <c r="L8" s="5" t="s">
        <v>140</v>
      </c>
      <c r="M8" s="5" t="s">
        <v>141</v>
      </c>
      <c r="N8" s="6" t="s">
        <v>166</v>
      </c>
    </row>
    <row r="9" spans="1:14" ht="77.25" customHeight="1">
      <c r="A9" s="4">
        <v>6</v>
      </c>
      <c r="B9" s="5" t="s">
        <v>134</v>
      </c>
      <c r="C9" s="5" t="s">
        <v>160</v>
      </c>
      <c r="D9" s="5" t="s">
        <v>167</v>
      </c>
      <c r="E9" s="5" t="s">
        <v>129</v>
      </c>
      <c r="F9" s="5" t="s">
        <v>137</v>
      </c>
      <c r="G9" s="5" t="s">
        <v>168</v>
      </c>
      <c r="H9" s="5" t="s">
        <v>150</v>
      </c>
      <c r="I9" s="5" t="s">
        <v>169</v>
      </c>
      <c r="J9" s="5" t="s">
        <v>152</v>
      </c>
      <c r="K9" s="5" t="s">
        <v>170</v>
      </c>
      <c r="L9" s="5" t="s">
        <v>140</v>
      </c>
      <c r="M9" s="5" t="s">
        <v>141</v>
      </c>
      <c r="N9" s="6" t="s">
        <v>171</v>
      </c>
    </row>
    <row r="10" spans="1:14" ht="77.25" customHeight="1">
      <c r="A10" s="4">
        <v>7</v>
      </c>
      <c r="B10" s="5" t="s">
        <v>134</v>
      </c>
      <c r="C10" s="5" t="s">
        <v>160</v>
      </c>
      <c r="D10" s="5" t="s">
        <v>172</v>
      </c>
      <c r="E10" s="5" t="s">
        <v>129</v>
      </c>
      <c r="F10" s="5" t="s">
        <v>137</v>
      </c>
      <c r="G10" s="5" t="s">
        <v>173</v>
      </c>
      <c r="H10" s="5" t="s">
        <v>150</v>
      </c>
      <c r="I10" s="5" t="s">
        <v>169</v>
      </c>
      <c r="J10" s="5" t="s">
        <v>152</v>
      </c>
      <c r="K10" s="5" t="s">
        <v>174</v>
      </c>
      <c r="L10" s="5" t="s">
        <v>140</v>
      </c>
      <c r="M10" s="5" t="s">
        <v>141</v>
      </c>
      <c r="N10" s="6" t="s">
        <v>175</v>
      </c>
    </row>
    <row r="11" spans="1:14" ht="77.25" customHeight="1">
      <c r="A11" s="4">
        <v>8</v>
      </c>
      <c r="B11" s="5" t="s">
        <v>134</v>
      </c>
      <c r="C11" s="5" t="s">
        <v>160</v>
      </c>
      <c r="D11" s="5" t="s">
        <v>176</v>
      </c>
      <c r="E11" s="5" t="s">
        <v>129</v>
      </c>
      <c r="F11" s="5" t="s">
        <v>177</v>
      </c>
      <c r="G11" s="5" t="s">
        <v>178</v>
      </c>
      <c r="H11" s="5" t="s">
        <v>179</v>
      </c>
      <c r="I11" s="5" t="s">
        <v>180</v>
      </c>
      <c r="J11" s="5" t="s">
        <v>152</v>
      </c>
      <c r="K11" s="5" t="s">
        <v>181</v>
      </c>
      <c r="L11" s="5" t="s">
        <v>140</v>
      </c>
      <c r="M11" s="5" t="s">
        <v>141</v>
      </c>
      <c r="N11" s="6" t="s">
        <v>182</v>
      </c>
    </row>
    <row r="12" spans="1:14" ht="77.25" customHeight="1">
      <c r="A12" s="4">
        <v>9</v>
      </c>
      <c r="B12" s="5" t="s">
        <v>134</v>
      </c>
      <c r="C12" s="5" t="s">
        <v>160</v>
      </c>
      <c r="D12" s="5" t="s">
        <v>183</v>
      </c>
      <c r="E12" s="5" t="s">
        <v>129</v>
      </c>
      <c r="F12" s="5" t="s">
        <v>184</v>
      </c>
      <c r="G12" s="5" t="s">
        <v>185</v>
      </c>
      <c r="H12" s="5" t="s">
        <v>186</v>
      </c>
      <c r="I12" s="5" t="s">
        <v>187</v>
      </c>
      <c r="J12" s="5" t="s">
        <v>140</v>
      </c>
      <c r="K12" s="5" t="s">
        <v>188</v>
      </c>
      <c r="L12" s="5" t="s">
        <v>140</v>
      </c>
      <c r="M12" s="5" t="s">
        <v>141</v>
      </c>
      <c r="N12" s="6" t="s">
        <v>189</v>
      </c>
    </row>
    <row r="13" spans="1:14" ht="77.25" customHeight="1">
      <c r="A13" s="4">
        <v>10</v>
      </c>
      <c r="B13" s="5" t="s">
        <v>134</v>
      </c>
      <c r="C13" s="5" t="s">
        <v>160</v>
      </c>
      <c r="D13" s="5" t="s">
        <v>190</v>
      </c>
      <c r="E13" s="5" t="s">
        <v>4</v>
      </c>
      <c r="F13" s="5" t="s">
        <v>137</v>
      </c>
      <c r="G13" s="5" t="s">
        <v>191</v>
      </c>
      <c r="H13" s="5" t="s">
        <v>150</v>
      </c>
      <c r="I13" s="5" t="s">
        <v>169</v>
      </c>
      <c r="J13" s="5" t="s">
        <v>152</v>
      </c>
      <c r="K13" s="5" t="s">
        <v>192</v>
      </c>
      <c r="L13" s="5" t="s">
        <v>140</v>
      </c>
      <c r="M13" s="5" t="s">
        <v>141</v>
      </c>
      <c r="N13" s="6" t="s">
        <v>193</v>
      </c>
    </row>
    <row r="14" spans="1:14" ht="77.25" customHeight="1">
      <c r="A14" s="4">
        <v>11</v>
      </c>
      <c r="B14" s="5" t="s">
        <v>134</v>
      </c>
      <c r="C14" s="5" t="s">
        <v>160</v>
      </c>
      <c r="D14" s="5" t="s">
        <v>194</v>
      </c>
      <c r="E14" s="5" t="s">
        <v>4</v>
      </c>
      <c r="F14" s="5" t="s">
        <v>137</v>
      </c>
      <c r="G14" s="5" t="s">
        <v>195</v>
      </c>
      <c r="H14" s="5" t="s">
        <v>163</v>
      </c>
      <c r="I14" s="5" t="s">
        <v>196</v>
      </c>
      <c r="J14" s="5" t="s">
        <v>152</v>
      </c>
      <c r="K14" s="5" t="s">
        <v>197</v>
      </c>
      <c r="L14" s="5" t="s">
        <v>198</v>
      </c>
      <c r="M14" s="5" t="s">
        <v>199</v>
      </c>
      <c r="N14" s="6" t="s">
        <v>200</v>
      </c>
    </row>
    <row r="15" spans="1:14" ht="77.25" customHeight="1">
      <c r="A15" s="4">
        <v>12</v>
      </c>
      <c r="B15" s="5" t="s">
        <v>134</v>
      </c>
      <c r="C15" s="5" t="s">
        <v>201</v>
      </c>
      <c r="D15" s="5" t="s">
        <v>202</v>
      </c>
      <c r="E15" s="5" t="s">
        <v>129</v>
      </c>
      <c r="F15" s="5" t="s">
        <v>203</v>
      </c>
      <c r="G15" s="5" t="s">
        <v>204</v>
      </c>
      <c r="H15" s="5" t="s">
        <v>139</v>
      </c>
      <c r="I15" s="5" t="s">
        <v>140</v>
      </c>
      <c r="J15" s="5" t="s">
        <v>140</v>
      </c>
      <c r="K15" s="5" t="s">
        <v>140</v>
      </c>
      <c r="L15" s="5" t="s">
        <v>140</v>
      </c>
      <c r="M15" s="5" t="s">
        <v>141</v>
      </c>
      <c r="N15" s="6" t="s">
        <v>205</v>
      </c>
    </row>
    <row r="16" spans="1:14" ht="77.25" customHeight="1">
      <c r="A16" s="4">
        <v>13</v>
      </c>
      <c r="B16" s="5" t="s">
        <v>134</v>
      </c>
      <c r="C16" s="5" t="s">
        <v>201</v>
      </c>
      <c r="D16" s="5" t="s">
        <v>206</v>
      </c>
      <c r="E16" s="5" t="s">
        <v>129</v>
      </c>
      <c r="F16" s="5" t="s">
        <v>207</v>
      </c>
      <c r="G16" s="5" t="s">
        <v>208</v>
      </c>
      <c r="H16" s="5" t="s">
        <v>209</v>
      </c>
      <c r="I16" s="5" t="s">
        <v>210</v>
      </c>
      <c r="J16" s="5" t="s">
        <v>152</v>
      </c>
      <c r="K16" s="5" t="s">
        <v>211</v>
      </c>
      <c r="L16" s="5" t="s">
        <v>212</v>
      </c>
      <c r="M16" s="5" t="s">
        <v>213</v>
      </c>
      <c r="N16" s="6" t="s">
        <v>214</v>
      </c>
    </row>
    <row r="17" spans="1:14" ht="77.25" customHeight="1">
      <c r="A17" s="4">
        <v>14</v>
      </c>
      <c r="B17" s="5" t="s">
        <v>134</v>
      </c>
      <c r="C17" s="5" t="s">
        <v>201</v>
      </c>
      <c r="D17" s="5" t="s">
        <v>215</v>
      </c>
      <c r="E17" s="5" t="s">
        <v>129</v>
      </c>
      <c r="F17" s="5" t="s">
        <v>207</v>
      </c>
      <c r="G17" s="5" t="s">
        <v>216</v>
      </c>
      <c r="H17" s="5" t="s">
        <v>217</v>
      </c>
      <c r="I17" s="5" t="s">
        <v>218</v>
      </c>
      <c r="J17" s="5" t="s">
        <v>152</v>
      </c>
      <c r="K17" s="5" t="s">
        <v>219</v>
      </c>
      <c r="L17" s="5" t="s">
        <v>220</v>
      </c>
      <c r="M17" s="5" t="s">
        <v>221</v>
      </c>
      <c r="N17" s="6" t="s">
        <v>222</v>
      </c>
    </row>
    <row r="18" spans="1:14" ht="77.25" customHeight="1">
      <c r="A18" s="4">
        <v>15</v>
      </c>
      <c r="B18" s="5" t="s">
        <v>134</v>
      </c>
      <c r="C18" s="5" t="s">
        <v>201</v>
      </c>
      <c r="D18" s="5" t="s">
        <v>223</v>
      </c>
      <c r="E18" s="5" t="s">
        <v>129</v>
      </c>
      <c r="F18" s="5" t="s">
        <v>207</v>
      </c>
      <c r="G18" s="5" t="s">
        <v>224</v>
      </c>
      <c r="H18" s="5" t="s">
        <v>209</v>
      </c>
      <c r="I18" s="5" t="s">
        <v>225</v>
      </c>
      <c r="J18" s="5" t="s">
        <v>152</v>
      </c>
      <c r="K18" s="5" t="s">
        <v>226</v>
      </c>
      <c r="L18" s="5" t="s">
        <v>227</v>
      </c>
      <c r="M18" s="5" t="s">
        <v>228</v>
      </c>
      <c r="N18" s="6" t="s">
        <v>229</v>
      </c>
    </row>
    <row r="19" spans="1:14" ht="77.25" customHeight="1">
      <c r="A19" s="4">
        <v>16</v>
      </c>
      <c r="B19" s="5" t="s">
        <v>134</v>
      </c>
      <c r="C19" s="5" t="s">
        <v>201</v>
      </c>
      <c r="D19" s="5" t="s">
        <v>230</v>
      </c>
      <c r="E19" s="5" t="s">
        <v>129</v>
      </c>
      <c r="F19" s="5" t="s">
        <v>207</v>
      </c>
      <c r="G19" s="5" t="s">
        <v>231</v>
      </c>
      <c r="H19" s="5" t="s">
        <v>150</v>
      </c>
      <c r="I19" s="5" t="s">
        <v>232</v>
      </c>
      <c r="J19" s="5" t="s">
        <v>152</v>
      </c>
      <c r="K19" s="5" t="s">
        <v>233</v>
      </c>
      <c r="L19" s="5" t="s">
        <v>140</v>
      </c>
      <c r="M19" s="5" t="s">
        <v>234</v>
      </c>
      <c r="N19" s="6" t="s">
        <v>235</v>
      </c>
    </row>
    <row r="20" spans="1:14" ht="77.25" customHeight="1">
      <c r="A20" s="4">
        <v>17</v>
      </c>
      <c r="B20" s="5" t="s">
        <v>134</v>
      </c>
      <c r="C20" s="5" t="s">
        <v>201</v>
      </c>
      <c r="D20" s="5" t="s">
        <v>236</v>
      </c>
      <c r="E20" s="5" t="s">
        <v>129</v>
      </c>
      <c r="F20" s="5" t="s">
        <v>207</v>
      </c>
      <c r="G20" s="5" t="s">
        <v>237</v>
      </c>
      <c r="H20" s="5" t="s">
        <v>150</v>
      </c>
      <c r="I20" s="5" t="s">
        <v>238</v>
      </c>
      <c r="J20" s="5" t="s">
        <v>152</v>
      </c>
      <c r="K20" s="5" t="s">
        <v>239</v>
      </c>
      <c r="L20" s="5" t="s">
        <v>140</v>
      </c>
      <c r="M20" s="5" t="s">
        <v>234</v>
      </c>
      <c r="N20" s="6" t="s">
        <v>240</v>
      </c>
    </row>
    <row r="21" spans="1:14" ht="77.25" customHeight="1">
      <c r="A21" s="4">
        <v>18</v>
      </c>
      <c r="B21" s="5" t="s">
        <v>134</v>
      </c>
      <c r="C21" s="5" t="s">
        <v>201</v>
      </c>
      <c r="D21" s="5" t="s">
        <v>241</v>
      </c>
      <c r="E21" s="5" t="s">
        <v>129</v>
      </c>
      <c r="F21" s="5" t="s">
        <v>207</v>
      </c>
      <c r="G21" s="5" t="s">
        <v>242</v>
      </c>
      <c r="H21" s="5" t="s">
        <v>150</v>
      </c>
      <c r="I21" s="5" t="s">
        <v>243</v>
      </c>
      <c r="J21" s="5" t="s">
        <v>152</v>
      </c>
      <c r="K21" s="5" t="s">
        <v>244</v>
      </c>
      <c r="L21" s="5" t="s">
        <v>245</v>
      </c>
      <c r="M21" s="5" t="s">
        <v>246</v>
      </c>
      <c r="N21" s="6" t="s">
        <v>247</v>
      </c>
    </row>
    <row r="22" spans="1:14" ht="77.25" customHeight="1">
      <c r="A22" s="4">
        <v>19</v>
      </c>
      <c r="B22" s="5" t="s">
        <v>134</v>
      </c>
      <c r="C22" s="5" t="s">
        <v>201</v>
      </c>
      <c r="D22" s="5" t="s">
        <v>248</v>
      </c>
      <c r="E22" s="5" t="s">
        <v>4</v>
      </c>
      <c r="F22" s="5" t="s">
        <v>207</v>
      </c>
      <c r="G22" s="5" t="s">
        <v>249</v>
      </c>
      <c r="H22" s="5" t="s">
        <v>150</v>
      </c>
      <c r="I22" s="5" t="s">
        <v>250</v>
      </c>
      <c r="J22" s="5" t="s">
        <v>152</v>
      </c>
      <c r="K22" s="5" t="s">
        <v>251</v>
      </c>
      <c r="L22" s="5" t="s">
        <v>140</v>
      </c>
      <c r="M22" s="5" t="s">
        <v>234</v>
      </c>
      <c r="N22" s="6" t="s">
        <v>252</v>
      </c>
    </row>
    <row r="23" spans="1:14" ht="77.25" customHeight="1">
      <c r="A23" s="4">
        <v>20</v>
      </c>
      <c r="B23" s="5" t="s">
        <v>134</v>
      </c>
      <c r="C23" s="5" t="s">
        <v>201</v>
      </c>
      <c r="D23" s="5" t="s">
        <v>253</v>
      </c>
      <c r="E23" s="5" t="s">
        <v>4</v>
      </c>
      <c r="F23" s="5" t="s">
        <v>207</v>
      </c>
      <c r="G23" s="5" t="s">
        <v>254</v>
      </c>
      <c r="H23" s="5" t="s">
        <v>209</v>
      </c>
      <c r="I23" s="5" t="s">
        <v>255</v>
      </c>
      <c r="J23" s="5" t="s">
        <v>152</v>
      </c>
      <c r="K23" s="5" t="s">
        <v>256</v>
      </c>
      <c r="L23" s="5" t="s">
        <v>140</v>
      </c>
      <c r="M23" s="5" t="s">
        <v>141</v>
      </c>
      <c r="N23" s="6" t="s">
        <v>257</v>
      </c>
    </row>
    <row r="24" spans="1:14" ht="77.25" customHeight="1">
      <c r="A24" s="4">
        <v>21</v>
      </c>
      <c r="B24" s="5" t="s">
        <v>134</v>
      </c>
      <c r="C24" s="5" t="s">
        <v>201</v>
      </c>
      <c r="D24" s="5" t="s">
        <v>258</v>
      </c>
      <c r="E24" s="5" t="s">
        <v>4</v>
      </c>
      <c r="F24" s="5" t="s">
        <v>207</v>
      </c>
      <c r="G24" s="5" t="s">
        <v>259</v>
      </c>
      <c r="H24" s="5" t="s">
        <v>150</v>
      </c>
      <c r="I24" s="5" t="s">
        <v>260</v>
      </c>
      <c r="J24" s="5" t="s">
        <v>152</v>
      </c>
      <c r="K24" s="5" t="s">
        <v>261</v>
      </c>
      <c r="L24" s="5" t="s">
        <v>140</v>
      </c>
      <c r="M24" s="5" t="s">
        <v>234</v>
      </c>
      <c r="N24" s="6" t="s">
        <v>262</v>
      </c>
    </row>
    <row r="25" spans="1:14" ht="77.25" customHeight="1">
      <c r="A25" s="4">
        <v>22</v>
      </c>
      <c r="B25" s="5" t="s">
        <v>134</v>
      </c>
      <c r="C25" s="5" t="s">
        <v>201</v>
      </c>
      <c r="D25" s="5" t="s">
        <v>263</v>
      </c>
      <c r="E25" s="5" t="s">
        <v>4</v>
      </c>
      <c r="F25" s="5" t="s">
        <v>207</v>
      </c>
      <c r="G25" s="5" t="s">
        <v>264</v>
      </c>
      <c r="H25" s="5" t="s">
        <v>209</v>
      </c>
      <c r="I25" s="5" t="s">
        <v>265</v>
      </c>
      <c r="J25" s="5" t="s">
        <v>152</v>
      </c>
      <c r="K25" s="5" t="s">
        <v>266</v>
      </c>
      <c r="L25" s="5" t="s">
        <v>140</v>
      </c>
      <c r="M25" s="5" t="s">
        <v>141</v>
      </c>
      <c r="N25" s="6" t="s">
        <v>267</v>
      </c>
    </row>
    <row r="26" spans="1:14" ht="77.25" customHeight="1">
      <c r="A26" s="4">
        <v>23</v>
      </c>
      <c r="B26" s="5" t="s">
        <v>268</v>
      </c>
      <c r="C26" s="5" t="s">
        <v>201</v>
      </c>
      <c r="D26" s="5" t="s">
        <v>269</v>
      </c>
      <c r="E26" s="5" t="s">
        <v>270</v>
      </c>
      <c r="F26" s="5" t="s">
        <v>271</v>
      </c>
      <c r="G26" s="5" t="s">
        <v>272</v>
      </c>
      <c r="H26" s="5" t="s">
        <v>273</v>
      </c>
      <c r="I26" s="5" t="s">
        <v>274</v>
      </c>
      <c r="J26" s="5" t="s">
        <v>275</v>
      </c>
      <c r="K26" s="5" t="s">
        <v>276</v>
      </c>
      <c r="L26" s="5" t="s">
        <v>277</v>
      </c>
      <c r="M26" s="5" t="s">
        <v>278</v>
      </c>
      <c r="N26" s="6" t="s">
        <v>279</v>
      </c>
    </row>
    <row r="27" spans="1:14" ht="77.25" customHeight="1">
      <c r="A27" s="4">
        <v>24</v>
      </c>
      <c r="B27" s="5" t="s">
        <v>268</v>
      </c>
      <c r="C27" s="5" t="s">
        <v>280</v>
      </c>
      <c r="D27" s="5" t="s">
        <v>281</v>
      </c>
      <c r="E27" s="5" t="s">
        <v>270</v>
      </c>
      <c r="F27" s="5" t="s">
        <v>282</v>
      </c>
      <c r="G27" s="5" t="s">
        <v>283</v>
      </c>
      <c r="H27" s="5" t="s">
        <v>209</v>
      </c>
      <c r="I27" s="5" t="s">
        <v>284</v>
      </c>
      <c r="J27" s="5" t="s">
        <v>275</v>
      </c>
      <c r="K27" s="5" t="s">
        <v>285</v>
      </c>
      <c r="L27" s="5" t="s">
        <v>286</v>
      </c>
      <c r="M27" s="5" t="s">
        <v>287</v>
      </c>
      <c r="N27" s="6" t="s">
        <v>288</v>
      </c>
    </row>
    <row r="28" spans="1:14" ht="77.25" customHeight="1">
      <c r="A28" s="4">
        <v>25</v>
      </c>
      <c r="B28" s="5" t="s">
        <v>134</v>
      </c>
      <c r="C28" s="5" t="s">
        <v>289</v>
      </c>
      <c r="D28" s="5" t="s">
        <v>290</v>
      </c>
      <c r="E28" s="5" t="s">
        <v>129</v>
      </c>
      <c r="F28" s="5" t="s">
        <v>291</v>
      </c>
      <c r="G28" s="5" t="s">
        <v>292</v>
      </c>
      <c r="H28" s="5" t="s">
        <v>186</v>
      </c>
      <c r="I28" s="5" t="s">
        <v>293</v>
      </c>
      <c r="J28" s="5" t="s">
        <v>140</v>
      </c>
      <c r="K28" s="5" t="s">
        <v>294</v>
      </c>
      <c r="L28" s="5" t="s">
        <v>140</v>
      </c>
      <c r="M28" s="5" t="s">
        <v>141</v>
      </c>
      <c r="N28" s="6" t="s">
        <v>295</v>
      </c>
    </row>
    <row r="29" spans="1:14" ht="77.25" customHeight="1">
      <c r="A29" s="4">
        <v>26</v>
      </c>
      <c r="B29" s="5" t="s">
        <v>134</v>
      </c>
      <c r="C29" s="5" t="s">
        <v>296</v>
      </c>
      <c r="D29" s="5" t="s">
        <v>297</v>
      </c>
      <c r="E29" s="5" t="s">
        <v>129</v>
      </c>
      <c r="F29" s="5" t="s">
        <v>298</v>
      </c>
      <c r="G29" s="5" t="s">
        <v>299</v>
      </c>
      <c r="H29" s="5" t="s">
        <v>139</v>
      </c>
      <c r="I29" s="5" t="s">
        <v>140</v>
      </c>
      <c r="J29" s="5" t="s">
        <v>140</v>
      </c>
      <c r="K29" s="5" t="s">
        <v>140</v>
      </c>
      <c r="L29" s="5" t="s">
        <v>140</v>
      </c>
      <c r="M29" s="5" t="s">
        <v>300</v>
      </c>
      <c r="N29" s="6" t="s">
        <v>301</v>
      </c>
    </row>
    <row r="30" spans="1:14" ht="77.25" customHeight="1">
      <c r="A30" s="4">
        <v>27</v>
      </c>
      <c r="B30" s="5" t="s">
        <v>134</v>
      </c>
      <c r="C30" s="5" t="s">
        <v>296</v>
      </c>
      <c r="D30" s="5" t="s">
        <v>302</v>
      </c>
      <c r="E30" s="5" t="s">
        <v>129</v>
      </c>
      <c r="F30" s="5" t="s">
        <v>303</v>
      </c>
      <c r="G30" s="5" t="s">
        <v>304</v>
      </c>
      <c r="H30" s="5" t="s">
        <v>150</v>
      </c>
      <c r="I30" s="5" t="s">
        <v>305</v>
      </c>
      <c r="J30" s="5" t="s">
        <v>152</v>
      </c>
      <c r="K30" s="5" t="s">
        <v>306</v>
      </c>
      <c r="L30" s="5" t="s">
        <v>140</v>
      </c>
      <c r="M30" s="5" t="s">
        <v>141</v>
      </c>
      <c r="N30" s="6" t="s">
        <v>307</v>
      </c>
    </row>
    <row r="31" spans="1:14" ht="77.25" customHeight="1">
      <c r="A31" s="4">
        <v>28</v>
      </c>
      <c r="B31" s="5" t="s">
        <v>134</v>
      </c>
      <c r="C31" s="5" t="s">
        <v>296</v>
      </c>
      <c r="D31" s="5" t="s">
        <v>308</v>
      </c>
      <c r="E31" s="5" t="s">
        <v>129</v>
      </c>
      <c r="F31" s="5" t="s">
        <v>309</v>
      </c>
      <c r="G31" s="5" t="s">
        <v>310</v>
      </c>
      <c r="H31" s="5" t="s">
        <v>311</v>
      </c>
      <c r="I31" s="5" t="s">
        <v>312</v>
      </c>
      <c r="J31" s="5" t="s">
        <v>152</v>
      </c>
      <c r="K31" s="5" t="s">
        <v>313</v>
      </c>
      <c r="L31" s="5" t="s">
        <v>314</v>
      </c>
      <c r="M31" s="5" t="s">
        <v>315</v>
      </c>
      <c r="N31" s="6" t="s">
        <v>316</v>
      </c>
    </row>
    <row r="32" spans="1:14" ht="77.25" customHeight="1">
      <c r="A32" s="4">
        <v>29</v>
      </c>
      <c r="B32" s="5" t="s">
        <v>268</v>
      </c>
      <c r="C32" s="5" t="s">
        <v>296</v>
      </c>
      <c r="D32" s="5" t="s">
        <v>317</v>
      </c>
      <c r="E32" s="5" t="s">
        <v>270</v>
      </c>
      <c r="F32" s="5" t="s">
        <v>318</v>
      </c>
      <c r="G32" s="5" t="s">
        <v>319</v>
      </c>
      <c r="H32" s="5" t="s">
        <v>320</v>
      </c>
      <c r="I32" s="5" t="s">
        <v>321</v>
      </c>
      <c r="J32" s="5" t="s">
        <v>275</v>
      </c>
      <c r="K32" s="5" t="s">
        <v>322</v>
      </c>
      <c r="L32" s="5" t="s">
        <v>140</v>
      </c>
      <c r="M32" s="5" t="s">
        <v>141</v>
      </c>
      <c r="N32" s="6" t="s">
        <v>323</v>
      </c>
    </row>
    <row r="33" spans="1:14" ht="77.25" customHeight="1">
      <c r="A33" s="4">
        <v>30</v>
      </c>
      <c r="B33" s="5" t="s">
        <v>268</v>
      </c>
      <c r="C33" s="5" t="s">
        <v>324</v>
      </c>
      <c r="D33" s="5" t="s">
        <v>325</v>
      </c>
      <c r="E33" s="5" t="s">
        <v>326</v>
      </c>
      <c r="F33" s="5" t="s">
        <v>327</v>
      </c>
      <c r="G33" s="5" t="s">
        <v>328</v>
      </c>
      <c r="H33" s="5" t="s">
        <v>217</v>
      </c>
      <c r="I33" s="5" t="s">
        <v>218</v>
      </c>
      <c r="J33" s="5" t="s">
        <v>275</v>
      </c>
      <c r="K33" s="5" t="s">
        <v>329</v>
      </c>
      <c r="L33" s="5" t="s">
        <v>220</v>
      </c>
      <c r="M33" s="5" t="s">
        <v>330</v>
      </c>
      <c r="N33" s="6" t="s">
        <v>331</v>
      </c>
    </row>
    <row r="34" spans="1:14" ht="77.25" customHeight="1">
      <c r="A34" s="4">
        <v>31</v>
      </c>
      <c r="B34" s="5" t="s">
        <v>134</v>
      </c>
      <c r="C34" s="5" t="s">
        <v>324</v>
      </c>
      <c r="D34" s="5" t="s">
        <v>332</v>
      </c>
      <c r="E34" s="5" t="s">
        <v>4</v>
      </c>
      <c r="F34" s="5" t="s">
        <v>333</v>
      </c>
      <c r="G34" s="5" t="s">
        <v>334</v>
      </c>
      <c r="H34" s="5" t="s">
        <v>335</v>
      </c>
      <c r="I34" s="5" t="s">
        <v>336</v>
      </c>
      <c r="J34" s="5" t="s">
        <v>275</v>
      </c>
      <c r="K34" s="5" t="s">
        <v>337</v>
      </c>
      <c r="L34" s="5" t="s">
        <v>140</v>
      </c>
      <c r="M34" s="5" t="s">
        <v>141</v>
      </c>
      <c r="N34" s="6" t="s">
        <v>338</v>
      </c>
    </row>
    <row r="35" spans="1:14" ht="77.25" customHeight="1">
      <c r="A35" s="4">
        <v>32</v>
      </c>
      <c r="B35" s="5" t="s">
        <v>134</v>
      </c>
      <c r="C35" s="5" t="s">
        <v>324</v>
      </c>
      <c r="D35" s="5" t="s">
        <v>339</v>
      </c>
      <c r="E35" s="5" t="s">
        <v>129</v>
      </c>
      <c r="F35" s="5" t="s">
        <v>333</v>
      </c>
      <c r="G35" s="5" t="s">
        <v>340</v>
      </c>
      <c r="H35" s="5" t="s">
        <v>335</v>
      </c>
      <c r="I35" s="5" t="s">
        <v>341</v>
      </c>
      <c r="J35" s="5" t="s">
        <v>152</v>
      </c>
      <c r="K35" s="5" t="s">
        <v>342</v>
      </c>
      <c r="L35" s="5" t="s">
        <v>140</v>
      </c>
      <c r="M35" s="5" t="s">
        <v>141</v>
      </c>
      <c r="N35" s="6" t="s">
        <v>343</v>
      </c>
    </row>
    <row r="36" spans="1:14" ht="77.25" customHeight="1">
      <c r="A36" s="4">
        <v>33</v>
      </c>
      <c r="B36" s="5" t="s">
        <v>134</v>
      </c>
      <c r="C36" s="5" t="s">
        <v>324</v>
      </c>
      <c r="D36" s="5" t="s">
        <v>344</v>
      </c>
      <c r="E36" s="5" t="s">
        <v>129</v>
      </c>
      <c r="F36" s="5" t="s">
        <v>345</v>
      </c>
      <c r="G36" s="5" t="s">
        <v>346</v>
      </c>
      <c r="H36" s="5" t="s">
        <v>347</v>
      </c>
      <c r="I36" s="5" t="s">
        <v>348</v>
      </c>
      <c r="J36" s="5" t="s">
        <v>152</v>
      </c>
      <c r="K36" s="5" t="s">
        <v>349</v>
      </c>
      <c r="L36" s="5" t="s">
        <v>140</v>
      </c>
      <c r="M36" s="5" t="s">
        <v>141</v>
      </c>
      <c r="N36" s="6" t="s">
        <v>350</v>
      </c>
    </row>
    <row r="37" spans="1:14" ht="77.25" customHeight="1">
      <c r="A37" s="4">
        <v>34</v>
      </c>
      <c r="B37" s="5" t="s">
        <v>268</v>
      </c>
      <c r="C37" s="5" t="s">
        <v>351</v>
      </c>
      <c r="D37" s="5" t="s">
        <v>352</v>
      </c>
      <c r="E37" s="5" t="s">
        <v>270</v>
      </c>
      <c r="F37" s="5" t="s">
        <v>353</v>
      </c>
      <c r="G37" s="5" t="s">
        <v>354</v>
      </c>
      <c r="H37" s="5" t="s">
        <v>355</v>
      </c>
      <c r="I37" s="5" t="s">
        <v>356</v>
      </c>
      <c r="J37" s="5" t="s">
        <v>275</v>
      </c>
      <c r="K37" s="5" t="s">
        <v>357</v>
      </c>
      <c r="L37" s="5" t="s">
        <v>358</v>
      </c>
      <c r="M37" s="5" t="s">
        <v>359</v>
      </c>
      <c r="N37" s="6" t="s">
        <v>360</v>
      </c>
    </row>
    <row r="38" spans="1:14" ht="77.25" customHeight="1">
      <c r="A38" s="4">
        <v>35</v>
      </c>
      <c r="B38" s="5" t="s">
        <v>268</v>
      </c>
      <c r="C38" s="5" t="s">
        <v>351</v>
      </c>
      <c r="D38" s="5" t="s">
        <v>361</v>
      </c>
      <c r="E38" s="5" t="s">
        <v>270</v>
      </c>
      <c r="F38" s="5" t="s">
        <v>362</v>
      </c>
      <c r="G38" s="5" t="s">
        <v>363</v>
      </c>
      <c r="H38" s="5" t="s">
        <v>150</v>
      </c>
      <c r="I38" s="5" t="s">
        <v>364</v>
      </c>
      <c r="J38" s="5" t="s">
        <v>275</v>
      </c>
      <c r="K38" s="5" t="s">
        <v>365</v>
      </c>
      <c r="L38" s="5" t="s">
        <v>140</v>
      </c>
      <c r="M38" s="5" t="s">
        <v>141</v>
      </c>
      <c r="N38" s="6" t="s">
        <v>366</v>
      </c>
    </row>
    <row r="39" spans="1:14" ht="77.25" customHeight="1">
      <c r="A39" s="4">
        <v>36</v>
      </c>
      <c r="B39" s="5" t="s">
        <v>134</v>
      </c>
      <c r="C39" s="5" t="s">
        <v>367</v>
      </c>
      <c r="D39" s="5" t="s">
        <v>368</v>
      </c>
      <c r="E39" s="5" t="s">
        <v>4</v>
      </c>
      <c r="F39" s="5" t="s">
        <v>369</v>
      </c>
      <c r="G39" s="5" t="s">
        <v>370</v>
      </c>
      <c r="H39" s="5" t="s">
        <v>150</v>
      </c>
      <c r="I39" s="5" t="s">
        <v>371</v>
      </c>
      <c r="J39" s="5" t="s">
        <v>152</v>
      </c>
      <c r="K39" s="5" t="s">
        <v>372</v>
      </c>
      <c r="L39" s="5" t="s">
        <v>140</v>
      </c>
      <c r="M39" s="5" t="s">
        <v>141</v>
      </c>
      <c r="N39" s="6" t="s">
        <v>373</v>
      </c>
    </row>
    <row r="40" spans="1:14" ht="77.25" customHeight="1">
      <c r="A40" s="4">
        <v>37</v>
      </c>
      <c r="B40" s="5" t="s">
        <v>134</v>
      </c>
      <c r="C40" s="5" t="s">
        <v>367</v>
      </c>
      <c r="D40" s="5" t="s">
        <v>374</v>
      </c>
      <c r="E40" s="5" t="s">
        <v>4</v>
      </c>
      <c r="F40" s="5" t="s">
        <v>369</v>
      </c>
      <c r="G40" s="5" t="s">
        <v>375</v>
      </c>
      <c r="H40" s="5" t="s">
        <v>376</v>
      </c>
      <c r="I40" s="5" t="s">
        <v>377</v>
      </c>
      <c r="J40" s="5" t="s">
        <v>152</v>
      </c>
      <c r="K40" s="5" t="s">
        <v>378</v>
      </c>
      <c r="L40" s="5" t="s">
        <v>140</v>
      </c>
      <c r="M40" s="5" t="s">
        <v>141</v>
      </c>
      <c r="N40" s="6" t="s">
        <v>379</v>
      </c>
    </row>
    <row r="41" spans="1:14" ht="77.25" customHeight="1">
      <c r="A41" s="4">
        <v>38</v>
      </c>
      <c r="B41" s="5" t="s">
        <v>134</v>
      </c>
      <c r="C41" s="5" t="s">
        <v>367</v>
      </c>
      <c r="D41" s="5" t="s">
        <v>380</v>
      </c>
      <c r="E41" s="5" t="s">
        <v>4</v>
      </c>
      <c r="F41" s="5" t="s">
        <v>369</v>
      </c>
      <c r="G41" s="5" t="s">
        <v>381</v>
      </c>
      <c r="H41" s="5" t="s">
        <v>376</v>
      </c>
      <c r="I41" s="5" t="s">
        <v>382</v>
      </c>
      <c r="J41" s="5" t="s">
        <v>152</v>
      </c>
      <c r="K41" s="5" t="s">
        <v>383</v>
      </c>
      <c r="L41" s="5" t="s">
        <v>140</v>
      </c>
      <c r="M41" s="5" t="s">
        <v>141</v>
      </c>
      <c r="N41" s="6" t="s">
        <v>384</v>
      </c>
    </row>
    <row r="42" spans="1:14" ht="77.25" customHeight="1">
      <c r="A42" s="4">
        <v>39</v>
      </c>
      <c r="B42" s="5" t="s">
        <v>134</v>
      </c>
      <c r="C42" s="5" t="s">
        <v>367</v>
      </c>
      <c r="D42" s="5" t="s">
        <v>385</v>
      </c>
      <c r="E42" s="5" t="s">
        <v>4</v>
      </c>
      <c r="F42" s="5" t="s">
        <v>369</v>
      </c>
      <c r="G42" s="5" t="s">
        <v>386</v>
      </c>
      <c r="H42" s="5" t="s">
        <v>376</v>
      </c>
      <c r="I42" s="5" t="s">
        <v>387</v>
      </c>
      <c r="J42" s="5" t="s">
        <v>152</v>
      </c>
      <c r="K42" s="5" t="s">
        <v>388</v>
      </c>
      <c r="L42" s="5" t="s">
        <v>140</v>
      </c>
      <c r="M42" s="5" t="s">
        <v>141</v>
      </c>
      <c r="N42" s="6" t="s">
        <v>389</v>
      </c>
    </row>
    <row r="43" spans="1:14" ht="77.25" customHeight="1">
      <c r="A43" s="4">
        <v>40</v>
      </c>
      <c r="B43" s="5" t="s">
        <v>268</v>
      </c>
      <c r="C43" s="5" t="s">
        <v>390</v>
      </c>
      <c r="D43" s="5" t="s">
        <v>391</v>
      </c>
      <c r="E43" s="5" t="s">
        <v>270</v>
      </c>
      <c r="F43" s="5" t="s">
        <v>369</v>
      </c>
      <c r="G43" s="5" t="s">
        <v>392</v>
      </c>
      <c r="H43" s="5" t="s">
        <v>376</v>
      </c>
      <c r="I43" s="5" t="s">
        <v>393</v>
      </c>
      <c r="J43" s="5" t="s">
        <v>275</v>
      </c>
      <c r="K43" s="5" t="s">
        <v>394</v>
      </c>
      <c r="L43" s="5" t="s">
        <v>395</v>
      </c>
      <c r="M43" s="5" t="s">
        <v>396</v>
      </c>
      <c r="N43" s="6" t="s">
        <v>397</v>
      </c>
    </row>
    <row r="44" spans="1:14" ht="77.25" customHeight="1">
      <c r="A44" s="4">
        <v>41</v>
      </c>
      <c r="B44" s="5" t="s">
        <v>268</v>
      </c>
      <c r="C44" s="5" t="s">
        <v>390</v>
      </c>
      <c r="D44" s="5" t="s">
        <v>398</v>
      </c>
      <c r="E44" s="5" t="s">
        <v>270</v>
      </c>
      <c r="F44" s="5" t="s">
        <v>369</v>
      </c>
      <c r="G44" s="5" t="s">
        <v>399</v>
      </c>
      <c r="H44" s="5" t="s">
        <v>376</v>
      </c>
      <c r="I44" s="5" t="s">
        <v>393</v>
      </c>
      <c r="J44" s="5" t="s">
        <v>275</v>
      </c>
      <c r="K44" s="5" t="s">
        <v>400</v>
      </c>
      <c r="L44" s="5" t="s">
        <v>401</v>
      </c>
      <c r="M44" s="5" t="s">
        <v>396</v>
      </c>
      <c r="N44" s="6" t="s">
        <v>402</v>
      </c>
    </row>
    <row r="45" spans="1:14" ht="77.25" customHeight="1">
      <c r="A45" s="4">
        <v>42</v>
      </c>
      <c r="B45" s="5" t="s">
        <v>268</v>
      </c>
      <c r="C45" s="5" t="s">
        <v>390</v>
      </c>
      <c r="D45" s="5" t="s">
        <v>403</v>
      </c>
      <c r="E45" s="5" t="s">
        <v>270</v>
      </c>
      <c r="F45" s="5" t="s">
        <v>369</v>
      </c>
      <c r="G45" s="5" t="s">
        <v>404</v>
      </c>
      <c r="H45" s="5" t="s">
        <v>376</v>
      </c>
      <c r="I45" s="5" t="s">
        <v>393</v>
      </c>
      <c r="J45" s="5" t="s">
        <v>275</v>
      </c>
      <c r="K45" s="5" t="s">
        <v>405</v>
      </c>
      <c r="L45" s="5" t="s">
        <v>406</v>
      </c>
      <c r="M45" s="5" t="s">
        <v>407</v>
      </c>
      <c r="N45" s="6" t="s">
        <v>408</v>
      </c>
    </row>
    <row r="46" spans="1:14" ht="77.25" customHeight="1">
      <c r="A46" s="4">
        <v>43</v>
      </c>
      <c r="B46" s="5" t="s">
        <v>268</v>
      </c>
      <c r="C46" s="5" t="s">
        <v>390</v>
      </c>
      <c r="D46" s="5" t="s">
        <v>409</v>
      </c>
      <c r="E46" s="5" t="s">
        <v>270</v>
      </c>
      <c r="F46" s="5" t="s">
        <v>369</v>
      </c>
      <c r="G46" s="5" t="s">
        <v>410</v>
      </c>
      <c r="H46" s="5" t="s">
        <v>376</v>
      </c>
      <c r="I46" s="5" t="s">
        <v>393</v>
      </c>
      <c r="J46" s="5" t="s">
        <v>275</v>
      </c>
      <c r="K46" s="5" t="s">
        <v>411</v>
      </c>
      <c r="L46" s="5" t="s">
        <v>406</v>
      </c>
      <c r="M46" s="5" t="s">
        <v>412</v>
      </c>
      <c r="N46" s="6" t="s">
        <v>413</v>
      </c>
    </row>
    <row r="47" spans="1:14" ht="77.25" customHeight="1">
      <c r="A47" s="4">
        <v>44</v>
      </c>
      <c r="B47" s="5" t="s">
        <v>134</v>
      </c>
      <c r="C47" s="5" t="s">
        <v>414</v>
      </c>
      <c r="D47" s="5" t="s">
        <v>415</v>
      </c>
      <c r="E47" s="5" t="s">
        <v>4</v>
      </c>
      <c r="F47" s="5" t="s">
        <v>416</v>
      </c>
      <c r="G47" s="5" t="s">
        <v>417</v>
      </c>
      <c r="H47" s="5" t="s">
        <v>150</v>
      </c>
      <c r="I47" s="5" t="s">
        <v>418</v>
      </c>
      <c r="J47" s="5" t="s">
        <v>152</v>
      </c>
      <c r="K47" s="5" t="s">
        <v>419</v>
      </c>
      <c r="L47" s="5" t="s">
        <v>140</v>
      </c>
      <c r="M47" s="5" t="s">
        <v>141</v>
      </c>
      <c r="N47" s="6" t="s">
        <v>420</v>
      </c>
    </row>
    <row r="48" spans="1:14" ht="77.25" customHeight="1">
      <c r="A48" s="4">
        <v>45</v>
      </c>
      <c r="B48" s="5" t="s">
        <v>134</v>
      </c>
      <c r="C48" s="5" t="s">
        <v>414</v>
      </c>
      <c r="D48" s="5" t="s">
        <v>421</v>
      </c>
      <c r="E48" s="5" t="s">
        <v>4</v>
      </c>
      <c r="F48" s="5" t="s">
        <v>416</v>
      </c>
      <c r="G48" s="5" t="s">
        <v>422</v>
      </c>
      <c r="H48" s="5" t="s">
        <v>150</v>
      </c>
      <c r="I48" s="5" t="s">
        <v>423</v>
      </c>
      <c r="J48" s="5" t="s">
        <v>152</v>
      </c>
      <c r="K48" s="5" t="s">
        <v>424</v>
      </c>
      <c r="L48" s="5" t="s">
        <v>140</v>
      </c>
      <c r="M48" s="5" t="s">
        <v>141</v>
      </c>
      <c r="N48" s="6" t="s">
        <v>425</v>
      </c>
    </row>
    <row r="49" spans="1:14" ht="77.25" customHeight="1">
      <c r="A49" s="4">
        <v>46</v>
      </c>
      <c r="B49" s="5" t="s">
        <v>134</v>
      </c>
      <c r="C49" s="5" t="s">
        <v>414</v>
      </c>
      <c r="D49" s="5" t="s">
        <v>426</v>
      </c>
      <c r="E49" s="5" t="s">
        <v>4</v>
      </c>
      <c r="F49" s="5" t="s">
        <v>416</v>
      </c>
      <c r="G49" s="5" t="s">
        <v>427</v>
      </c>
      <c r="H49" s="5" t="s">
        <v>150</v>
      </c>
      <c r="I49" s="5" t="s">
        <v>428</v>
      </c>
      <c r="J49" s="5" t="s">
        <v>152</v>
      </c>
      <c r="K49" s="5" t="s">
        <v>429</v>
      </c>
      <c r="L49" s="5" t="s">
        <v>140</v>
      </c>
      <c r="M49" s="5" t="s">
        <v>141</v>
      </c>
      <c r="N49" s="6" t="s">
        <v>430</v>
      </c>
    </row>
    <row r="50" spans="1:14" ht="77.25" customHeight="1">
      <c r="A50" s="4">
        <v>47</v>
      </c>
      <c r="B50" s="5" t="s">
        <v>134</v>
      </c>
      <c r="C50" s="5" t="s">
        <v>414</v>
      </c>
      <c r="D50" s="5" t="s">
        <v>431</v>
      </c>
      <c r="E50" s="5" t="s">
        <v>4</v>
      </c>
      <c r="F50" s="5" t="s">
        <v>416</v>
      </c>
      <c r="G50" s="5" t="s">
        <v>432</v>
      </c>
      <c r="H50" s="5" t="s">
        <v>150</v>
      </c>
      <c r="I50" s="5" t="s">
        <v>433</v>
      </c>
      <c r="J50" s="5" t="s">
        <v>152</v>
      </c>
      <c r="K50" s="5" t="s">
        <v>434</v>
      </c>
      <c r="L50" s="5" t="s">
        <v>140</v>
      </c>
      <c r="M50" s="5" t="s">
        <v>141</v>
      </c>
      <c r="N50" s="6" t="s">
        <v>435</v>
      </c>
    </row>
    <row r="51" spans="1:14" ht="77.25" customHeight="1">
      <c r="A51" s="4">
        <v>48</v>
      </c>
      <c r="B51" s="5" t="s">
        <v>268</v>
      </c>
      <c r="C51" s="5" t="s">
        <v>414</v>
      </c>
      <c r="D51" s="5" t="s">
        <v>436</v>
      </c>
      <c r="E51" s="5" t="s">
        <v>270</v>
      </c>
      <c r="F51" s="5" t="s">
        <v>416</v>
      </c>
      <c r="G51" s="5" t="s">
        <v>437</v>
      </c>
      <c r="H51" s="5" t="s">
        <v>150</v>
      </c>
      <c r="I51" s="5" t="s">
        <v>438</v>
      </c>
      <c r="J51" s="5" t="s">
        <v>275</v>
      </c>
      <c r="K51" s="5" t="s">
        <v>439</v>
      </c>
      <c r="L51" s="5" t="s">
        <v>140</v>
      </c>
      <c r="M51" s="5" t="s">
        <v>141</v>
      </c>
      <c r="N51" s="6" t="s">
        <v>440</v>
      </c>
    </row>
    <row r="52" spans="1:14" ht="77.25" customHeight="1">
      <c r="A52" s="7">
        <v>49</v>
      </c>
      <c r="B52" s="8" t="s">
        <v>268</v>
      </c>
      <c r="C52" s="8" t="s">
        <v>441</v>
      </c>
      <c r="D52" s="8" t="s">
        <v>442</v>
      </c>
      <c r="E52" s="8" t="s">
        <v>270</v>
      </c>
      <c r="F52" s="8" t="s">
        <v>416</v>
      </c>
      <c r="G52" s="8" t="s">
        <v>443</v>
      </c>
      <c r="H52" s="8" t="s">
        <v>335</v>
      </c>
      <c r="I52" s="8" t="s">
        <v>444</v>
      </c>
      <c r="J52" s="8" t="s">
        <v>275</v>
      </c>
      <c r="K52" s="8" t="s">
        <v>445</v>
      </c>
      <c r="L52" s="8" t="s">
        <v>140</v>
      </c>
      <c r="M52" s="8" t="s">
        <v>141</v>
      </c>
      <c r="N52" s="9" t="s">
        <v>446</v>
      </c>
    </row>
  </sheetData>
  <mergeCells count="2">
    <mergeCell ref="A1:N1"/>
    <mergeCell ref="A2:N2"/>
  </mergeCells>
  <phoneticPr fontId="8"/>
  <conditionalFormatting sqref="B4:B52">
    <cfRule type="expression" dxfId="14" priority="1">
      <formula>B4="採用"</formula>
    </cfRule>
    <cfRule type="expression" dxfId="13" priority="2">
      <formula>B4="保留"</formula>
    </cfRule>
  </conditionalFormatting>
  <conditionalFormatting sqref="E4:E52">
    <cfRule type="expression" dxfId="12" priority="3">
      <formula>E4="必須"</formula>
    </cfRule>
    <cfRule type="expression" dxfId="11" priority="4">
      <formula>E4="要設計判断"</formula>
    </cfRule>
  </conditionalFormatting>
  <dataValidations count="1">
    <dataValidation type="list" sqref="B4:B52" xr:uid="{00000000-0002-0000-0100-000000000000}">
      <formula1>"採用,保留,除外"</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5"/>
  <sheetViews>
    <sheetView workbookViewId="0">
      <selection sqref="A1:P1"/>
    </sheetView>
  </sheetViews>
  <sheetFormatPr baseColWidth="10" defaultColWidth="8.83203125" defaultRowHeight="14"/>
  <cols>
    <col min="1" max="1" width="6" customWidth="1"/>
    <col min="2" max="2" width="9" customWidth="1"/>
    <col min="3" max="3" width="14" customWidth="1"/>
    <col min="4" max="4" width="22" customWidth="1"/>
    <col min="5" max="5" width="12" customWidth="1"/>
    <col min="6" max="6" width="25" customWidth="1"/>
    <col min="7" max="7" width="46" customWidth="1"/>
    <col min="8" max="8" width="18" customWidth="1"/>
    <col min="9" max="9" width="29" customWidth="1"/>
    <col min="10" max="10" width="8" customWidth="1"/>
    <col min="11" max="11" width="25" customWidth="1"/>
    <col min="12" max="12" width="22" customWidth="1"/>
    <col min="13" max="13" width="24" customWidth="1"/>
    <col min="14" max="14" width="46" customWidth="1"/>
  </cols>
  <sheetData>
    <row r="1" spans="1:14" ht="40" customHeight="1">
      <c r="A1" s="14" t="s">
        <v>447</v>
      </c>
      <c r="B1" s="14"/>
      <c r="C1" s="14"/>
      <c r="D1" s="14"/>
      <c r="E1" s="14"/>
      <c r="F1" s="14"/>
      <c r="G1" s="14"/>
      <c r="H1" s="14"/>
      <c r="I1" s="14"/>
      <c r="J1" s="14"/>
      <c r="K1" s="14"/>
      <c r="L1" s="14"/>
      <c r="M1" s="14"/>
      <c r="N1" s="14"/>
    </row>
    <row r="2" spans="1:14" ht="50.75" customHeight="1">
      <c r="A2" s="15" t="s">
        <v>448</v>
      </c>
      <c r="B2" s="15"/>
      <c r="C2" s="15"/>
      <c r="D2" s="15"/>
      <c r="E2" s="15"/>
      <c r="F2" s="15"/>
      <c r="G2" s="15"/>
      <c r="H2" s="15"/>
      <c r="I2" s="15"/>
      <c r="J2" s="15"/>
      <c r="K2" s="15"/>
      <c r="L2" s="15"/>
      <c r="M2" s="15"/>
      <c r="N2" s="15"/>
    </row>
    <row r="3" spans="1:14" ht="45.25" customHeight="1">
      <c r="A3" s="1" t="s">
        <v>120</v>
      </c>
      <c r="B3" s="2" t="s">
        <v>121</v>
      </c>
      <c r="C3" s="2" t="s">
        <v>122</v>
      </c>
      <c r="D3" s="2" t="s">
        <v>123</v>
      </c>
      <c r="E3" s="2" t="s">
        <v>124</v>
      </c>
      <c r="F3" s="2" t="s">
        <v>125</v>
      </c>
      <c r="G3" s="2" t="s">
        <v>126</v>
      </c>
      <c r="H3" s="2" t="s">
        <v>127</v>
      </c>
      <c r="I3" s="2" t="s">
        <v>128</v>
      </c>
      <c r="J3" s="2" t="s">
        <v>129</v>
      </c>
      <c r="K3" s="2" t="s">
        <v>130</v>
      </c>
      <c r="L3" s="2" t="s">
        <v>131</v>
      </c>
      <c r="M3" s="2" t="s">
        <v>132</v>
      </c>
      <c r="N3" s="3" t="s">
        <v>133</v>
      </c>
    </row>
    <row r="4" spans="1:14" ht="77.25" customHeight="1">
      <c r="A4" s="4">
        <v>1</v>
      </c>
      <c r="B4" s="5" t="s">
        <v>134</v>
      </c>
      <c r="C4" s="5" t="s">
        <v>135</v>
      </c>
      <c r="D4" s="5" t="s">
        <v>449</v>
      </c>
      <c r="E4" s="5" t="s">
        <v>129</v>
      </c>
      <c r="F4" s="5" t="s">
        <v>137</v>
      </c>
      <c r="G4" s="5" t="s">
        <v>450</v>
      </c>
      <c r="H4" s="5" t="s">
        <v>139</v>
      </c>
      <c r="I4" s="5" t="s">
        <v>140</v>
      </c>
      <c r="J4" s="5" t="s">
        <v>140</v>
      </c>
      <c r="K4" s="5" t="s">
        <v>140</v>
      </c>
      <c r="L4" s="5" t="s">
        <v>140</v>
      </c>
      <c r="M4" s="5" t="s">
        <v>141</v>
      </c>
      <c r="N4" s="6" t="s">
        <v>451</v>
      </c>
    </row>
    <row r="5" spans="1:14" ht="77.25" customHeight="1">
      <c r="A5" s="4">
        <v>2</v>
      </c>
      <c r="B5" s="5" t="s">
        <v>134</v>
      </c>
      <c r="C5" s="5" t="s">
        <v>135</v>
      </c>
      <c r="D5" s="5" t="s">
        <v>452</v>
      </c>
      <c r="E5" s="5" t="s">
        <v>129</v>
      </c>
      <c r="F5" s="5" t="s">
        <v>137</v>
      </c>
      <c r="G5" s="5" t="s">
        <v>156</v>
      </c>
      <c r="H5" s="5" t="s">
        <v>150</v>
      </c>
      <c r="I5" s="5" t="s">
        <v>157</v>
      </c>
      <c r="J5" s="5" t="s">
        <v>152</v>
      </c>
      <c r="K5" s="5" t="s">
        <v>158</v>
      </c>
      <c r="L5" s="5" t="s">
        <v>140</v>
      </c>
      <c r="M5" s="5" t="s">
        <v>141</v>
      </c>
      <c r="N5" s="6" t="s">
        <v>453</v>
      </c>
    </row>
    <row r="6" spans="1:14" ht="77.25" customHeight="1">
      <c r="A6" s="4">
        <v>3</v>
      </c>
      <c r="B6" s="5" t="s">
        <v>134</v>
      </c>
      <c r="C6" s="5" t="s">
        <v>160</v>
      </c>
      <c r="D6" s="5" t="s">
        <v>454</v>
      </c>
      <c r="E6" s="5" t="s">
        <v>129</v>
      </c>
      <c r="F6" s="5" t="s">
        <v>137</v>
      </c>
      <c r="G6" s="5" t="s">
        <v>162</v>
      </c>
      <c r="H6" s="5" t="s">
        <v>163</v>
      </c>
      <c r="I6" s="5" t="s">
        <v>164</v>
      </c>
      <c r="J6" s="5" t="s">
        <v>152</v>
      </c>
      <c r="K6" s="5" t="s">
        <v>165</v>
      </c>
      <c r="L6" s="5" t="s">
        <v>140</v>
      </c>
      <c r="M6" s="5" t="s">
        <v>141</v>
      </c>
      <c r="N6" s="6" t="s">
        <v>455</v>
      </c>
    </row>
    <row r="7" spans="1:14" ht="77.25" customHeight="1">
      <c r="A7" s="4">
        <v>4</v>
      </c>
      <c r="B7" s="5" t="s">
        <v>134</v>
      </c>
      <c r="C7" s="5" t="s">
        <v>160</v>
      </c>
      <c r="D7" s="5" t="s">
        <v>456</v>
      </c>
      <c r="E7" s="5" t="s">
        <v>129</v>
      </c>
      <c r="F7" s="5" t="s">
        <v>137</v>
      </c>
      <c r="G7" s="5" t="s">
        <v>457</v>
      </c>
      <c r="H7" s="5" t="s">
        <v>150</v>
      </c>
      <c r="I7" s="5" t="s">
        <v>169</v>
      </c>
      <c r="J7" s="5" t="s">
        <v>152</v>
      </c>
      <c r="K7" s="5" t="s">
        <v>170</v>
      </c>
      <c r="L7" s="5" t="s">
        <v>140</v>
      </c>
      <c r="M7" s="5" t="s">
        <v>141</v>
      </c>
      <c r="N7" s="6" t="s">
        <v>171</v>
      </c>
    </row>
    <row r="8" spans="1:14" ht="77.25" customHeight="1">
      <c r="A8" s="4">
        <v>5</v>
      </c>
      <c r="B8" s="5" t="s">
        <v>134</v>
      </c>
      <c r="C8" s="5" t="s">
        <v>160</v>
      </c>
      <c r="D8" s="5" t="s">
        <v>458</v>
      </c>
      <c r="E8" s="5" t="s">
        <v>129</v>
      </c>
      <c r="F8" s="5" t="s">
        <v>137</v>
      </c>
      <c r="G8" s="5" t="s">
        <v>191</v>
      </c>
      <c r="H8" s="5" t="s">
        <v>150</v>
      </c>
      <c r="I8" s="5" t="s">
        <v>169</v>
      </c>
      <c r="J8" s="5" t="s">
        <v>152</v>
      </c>
      <c r="K8" s="5" t="s">
        <v>192</v>
      </c>
      <c r="L8" s="5" t="s">
        <v>140</v>
      </c>
      <c r="M8" s="5" t="s">
        <v>141</v>
      </c>
      <c r="N8" s="6" t="s">
        <v>459</v>
      </c>
    </row>
    <row r="9" spans="1:14" ht="77.25" customHeight="1">
      <c r="A9" s="4">
        <v>6</v>
      </c>
      <c r="B9" s="5" t="s">
        <v>134</v>
      </c>
      <c r="C9" s="5" t="s">
        <v>160</v>
      </c>
      <c r="D9" s="5" t="s">
        <v>460</v>
      </c>
      <c r="E9" s="5" t="s">
        <v>4</v>
      </c>
      <c r="F9" s="5" t="s">
        <v>137</v>
      </c>
      <c r="G9" s="5" t="s">
        <v>370</v>
      </c>
      <c r="H9" s="5" t="s">
        <v>150</v>
      </c>
      <c r="I9" s="5" t="s">
        <v>371</v>
      </c>
      <c r="J9" s="5" t="s">
        <v>152</v>
      </c>
      <c r="K9" s="5" t="s">
        <v>372</v>
      </c>
      <c r="L9" s="5" t="s">
        <v>140</v>
      </c>
      <c r="M9" s="5" t="s">
        <v>141</v>
      </c>
      <c r="N9" s="6" t="s">
        <v>373</v>
      </c>
    </row>
    <row r="10" spans="1:14" ht="77.25" customHeight="1">
      <c r="A10" s="4">
        <v>7</v>
      </c>
      <c r="B10" s="5" t="s">
        <v>134</v>
      </c>
      <c r="C10" s="5" t="s">
        <v>160</v>
      </c>
      <c r="D10" s="5" t="s">
        <v>461</v>
      </c>
      <c r="E10" s="5" t="s">
        <v>4</v>
      </c>
      <c r="F10" s="5" t="s">
        <v>137</v>
      </c>
      <c r="G10" s="5" t="s">
        <v>462</v>
      </c>
      <c r="H10" s="5" t="s">
        <v>163</v>
      </c>
      <c r="I10" s="5" t="s">
        <v>196</v>
      </c>
      <c r="J10" s="5" t="s">
        <v>152</v>
      </c>
      <c r="K10" s="5" t="s">
        <v>197</v>
      </c>
      <c r="L10" s="5" t="s">
        <v>198</v>
      </c>
      <c r="M10" s="5" t="s">
        <v>199</v>
      </c>
      <c r="N10" s="6" t="s">
        <v>463</v>
      </c>
    </row>
    <row r="11" spans="1:14" ht="77.25" customHeight="1">
      <c r="A11" s="4">
        <v>8</v>
      </c>
      <c r="B11" s="5" t="s">
        <v>134</v>
      </c>
      <c r="C11" s="5" t="s">
        <v>160</v>
      </c>
      <c r="D11" s="5" t="s">
        <v>464</v>
      </c>
      <c r="E11" s="5" t="s">
        <v>129</v>
      </c>
      <c r="F11" s="5" t="s">
        <v>465</v>
      </c>
      <c r="G11" s="5" t="s">
        <v>466</v>
      </c>
      <c r="H11" s="5" t="s">
        <v>150</v>
      </c>
      <c r="I11" s="5" t="s">
        <v>467</v>
      </c>
      <c r="J11" s="5" t="s">
        <v>152</v>
      </c>
      <c r="K11" s="5" t="s">
        <v>468</v>
      </c>
      <c r="L11" s="5" t="s">
        <v>140</v>
      </c>
      <c r="M11" s="5" t="s">
        <v>141</v>
      </c>
      <c r="N11" s="6" t="s">
        <v>469</v>
      </c>
    </row>
    <row r="12" spans="1:14" ht="77.25" customHeight="1">
      <c r="A12" s="4">
        <v>9</v>
      </c>
      <c r="B12" s="5" t="s">
        <v>134</v>
      </c>
      <c r="C12" s="5" t="s">
        <v>160</v>
      </c>
      <c r="D12" s="5" t="s">
        <v>470</v>
      </c>
      <c r="E12" s="5" t="s">
        <v>4</v>
      </c>
      <c r="F12" s="5" t="s">
        <v>465</v>
      </c>
      <c r="G12" s="5" t="s">
        <v>471</v>
      </c>
      <c r="H12" s="5" t="s">
        <v>209</v>
      </c>
      <c r="I12" s="5" t="s">
        <v>472</v>
      </c>
      <c r="J12" s="5" t="s">
        <v>152</v>
      </c>
      <c r="K12" s="5" t="s">
        <v>473</v>
      </c>
      <c r="L12" s="5" t="s">
        <v>140</v>
      </c>
      <c r="M12" s="5" t="s">
        <v>141</v>
      </c>
      <c r="N12" s="6" t="s">
        <v>474</v>
      </c>
    </row>
    <row r="13" spans="1:14" ht="77.25" customHeight="1">
      <c r="A13" s="4">
        <v>10</v>
      </c>
      <c r="B13" s="5" t="s">
        <v>134</v>
      </c>
      <c r="C13" s="5" t="s">
        <v>289</v>
      </c>
      <c r="D13" s="5" t="s">
        <v>475</v>
      </c>
      <c r="E13" s="5" t="s">
        <v>129</v>
      </c>
      <c r="F13" s="5" t="s">
        <v>476</v>
      </c>
      <c r="G13" s="5" t="s">
        <v>477</v>
      </c>
      <c r="H13" s="5" t="s">
        <v>186</v>
      </c>
      <c r="I13" s="5" t="s">
        <v>478</v>
      </c>
      <c r="J13" s="5" t="s">
        <v>140</v>
      </c>
      <c r="K13" s="5" t="s">
        <v>479</v>
      </c>
      <c r="L13" s="5" t="s">
        <v>140</v>
      </c>
      <c r="M13" s="5" t="s">
        <v>141</v>
      </c>
      <c r="N13" s="6" t="s">
        <v>480</v>
      </c>
    </row>
    <row r="14" spans="1:14" ht="77.25" customHeight="1">
      <c r="A14" s="4">
        <v>11</v>
      </c>
      <c r="B14" s="5" t="s">
        <v>134</v>
      </c>
      <c r="C14" s="5" t="s">
        <v>289</v>
      </c>
      <c r="D14" s="5" t="s">
        <v>481</v>
      </c>
      <c r="E14" s="5" t="s">
        <v>129</v>
      </c>
      <c r="F14" s="5" t="s">
        <v>476</v>
      </c>
      <c r="G14" s="5" t="s">
        <v>482</v>
      </c>
      <c r="H14" s="5" t="s">
        <v>186</v>
      </c>
      <c r="I14" s="5" t="s">
        <v>483</v>
      </c>
      <c r="J14" s="5" t="s">
        <v>140</v>
      </c>
      <c r="K14" s="5" t="s">
        <v>484</v>
      </c>
      <c r="L14" s="5" t="s">
        <v>140</v>
      </c>
      <c r="M14" s="5" t="s">
        <v>141</v>
      </c>
      <c r="N14" s="6" t="s">
        <v>485</v>
      </c>
    </row>
    <row r="15" spans="1:14" ht="77.25" customHeight="1">
      <c r="A15" s="4">
        <v>12</v>
      </c>
      <c r="B15" s="5" t="s">
        <v>134</v>
      </c>
      <c r="C15" s="5" t="s">
        <v>486</v>
      </c>
      <c r="D15" s="5" t="s">
        <v>487</v>
      </c>
      <c r="E15" s="5" t="s">
        <v>129</v>
      </c>
      <c r="F15" s="5" t="s">
        <v>488</v>
      </c>
      <c r="G15" s="5" t="s">
        <v>489</v>
      </c>
      <c r="H15" s="5" t="s">
        <v>139</v>
      </c>
      <c r="I15" s="5" t="s">
        <v>140</v>
      </c>
      <c r="J15" s="5" t="s">
        <v>140</v>
      </c>
      <c r="K15" s="5" t="s">
        <v>140</v>
      </c>
      <c r="L15" s="5" t="s">
        <v>140</v>
      </c>
      <c r="M15" s="5" t="s">
        <v>490</v>
      </c>
      <c r="N15" s="6" t="s">
        <v>491</v>
      </c>
    </row>
    <row r="16" spans="1:14" ht="77.25" customHeight="1">
      <c r="A16" s="4">
        <v>13</v>
      </c>
      <c r="B16" s="5" t="s">
        <v>134</v>
      </c>
      <c r="C16" s="5" t="s">
        <v>486</v>
      </c>
      <c r="D16" s="5" t="s">
        <v>492</v>
      </c>
      <c r="E16" s="5" t="s">
        <v>129</v>
      </c>
      <c r="F16" s="5" t="s">
        <v>148</v>
      </c>
      <c r="G16" s="5" t="s">
        <v>493</v>
      </c>
      <c r="H16" s="5" t="s">
        <v>150</v>
      </c>
      <c r="I16" s="5" t="s">
        <v>494</v>
      </c>
      <c r="J16" s="5" t="s">
        <v>152</v>
      </c>
      <c r="K16" s="5" t="s">
        <v>495</v>
      </c>
      <c r="L16" s="5" t="s">
        <v>140</v>
      </c>
      <c r="M16" s="5" t="s">
        <v>141</v>
      </c>
      <c r="N16" s="6" t="s">
        <v>496</v>
      </c>
    </row>
    <row r="17" spans="1:14" ht="77.25" customHeight="1">
      <c r="A17" s="4">
        <v>14</v>
      </c>
      <c r="B17" s="5" t="s">
        <v>134</v>
      </c>
      <c r="C17" s="5" t="s">
        <v>497</v>
      </c>
      <c r="D17" s="5" t="s">
        <v>498</v>
      </c>
      <c r="E17" s="5" t="s">
        <v>129</v>
      </c>
      <c r="F17" s="5" t="s">
        <v>499</v>
      </c>
      <c r="G17" s="5" t="s">
        <v>500</v>
      </c>
      <c r="H17" s="5" t="s">
        <v>217</v>
      </c>
      <c r="I17" s="5" t="s">
        <v>218</v>
      </c>
      <c r="J17" s="5" t="s">
        <v>152</v>
      </c>
      <c r="K17" s="5" t="s">
        <v>501</v>
      </c>
      <c r="L17" s="5" t="s">
        <v>220</v>
      </c>
      <c r="M17" s="5" t="s">
        <v>502</v>
      </c>
      <c r="N17" s="6" t="s">
        <v>503</v>
      </c>
    </row>
    <row r="18" spans="1:14" ht="77.25" customHeight="1">
      <c r="A18" s="4">
        <v>15</v>
      </c>
      <c r="B18" s="5" t="s">
        <v>134</v>
      </c>
      <c r="C18" s="5" t="s">
        <v>497</v>
      </c>
      <c r="D18" s="5" t="s">
        <v>504</v>
      </c>
      <c r="E18" s="5" t="s">
        <v>129</v>
      </c>
      <c r="F18" s="5" t="s">
        <v>499</v>
      </c>
      <c r="G18" s="5" t="s">
        <v>505</v>
      </c>
      <c r="H18" s="5" t="s">
        <v>506</v>
      </c>
      <c r="I18" s="5" t="s">
        <v>507</v>
      </c>
      <c r="J18" s="5" t="s">
        <v>152</v>
      </c>
      <c r="K18" s="5" t="s">
        <v>508</v>
      </c>
      <c r="L18" s="5" t="s">
        <v>509</v>
      </c>
      <c r="M18" s="5" t="s">
        <v>510</v>
      </c>
      <c r="N18" s="6" t="s">
        <v>511</v>
      </c>
    </row>
    <row r="19" spans="1:14" ht="77.25" customHeight="1">
      <c r="A19" s="4">
        <v>16</v>
      </c>
      <c r="B19" s="5" t="s">
        <v>134</v>
      </c>
      <c r="C19" s="5" t="s">
        <v>497</v>
      </c>
      <c r="D19" s="5" t="s">
        <v>512</v>
      </c>
      <c r="E19" s="5" t="s">
        <v>4</v>
      </c>
      <c r="F19" s="5" t="s">
        <v>499</v>
      </c>
      <c r="G19" s="5" t="s">
        <v>513</v>
      </c>
      <c r="H19" s="5" t="s">
        <v>209</v>
      </c>
      <c r="I19" s="5" t="s">
        <v>265</v>
      </c>
      <c r="J19" s="5" t="s">
        <v>152</v>
      </c>
      <c r="K19" s="5" t="s">
        <v>514</v>
      </c>
      <c r="L19" s="5" t="s">
        <v>140</v>
      </c>
      <c r="M19" s="5" t="s">
        <v>141</v>
      </c>
      <c r="N19" s="6" t="s">
        <v>515</v>
      </c>
    </row>
    <row r="20" spans="1:14" ht="77.25" customHeight="1">
      <c r="A20" s="4">
        <v>17</v>
      </c>
      <c r="B20" s="5" t="s">
        <v>134</v>
      </c>
      <c r="C20" s="5" t="s">
        <v>516</v>
      </c>
      <c r="D20" s="5" t="s">
        <v>517</v>
      </c>
      <c r="E20" s="5" t="s">
        <v>129</v>
      </c>
      <c r="F20" s="5" t="s">
        <v>518</v>
      </c>
      <c r="G20" s="5" t="s">
        <v>519</v>
      </c>
      <c r="H20" s="5" t="s">
        <v>520</v>
      </c>
      <c r="I20" s="5" t="s">
        <v>521</v>
      </c>
      <c r="J20" s="5" t="s">
        <v>152</v>
      </c>
      <c r="K20" s="5" t="s">
        <v>522</v>
      </c>
      <c r="L20" s="5" t="s">
        <v>523</v>
      </c>
      <c r="M20" s="5" t="s">
        <v>396</v>
      </c>
      <c r="N20" s="6" t="s">
        <v>524</v>
      </c>
    </row>
    <row r="21" spans="1:14" ht="77.25" customHeight="1">
      <c r="A21" s="4">
        <v>18</v>
      </c>
      <c r="B21" s="5" t="s">
        <v>134</v>
      </c>
      <c r="C21" s="5" t="s">
        <v>516</v>
      </c>
      <c r="D21" s="5" t="s">
        <v>525</v>
      </c>
      <c r="E21" s="5" t="s">
        <v>129</v>
      </c>
      <c r="F21" s="5" t="s">
        <v>518</v>
      </c>
      <c r="G21" s="5" t="s">
        <v>526</v>
      </c>
      <c r="H21" s="5" t="s">
        <v>520</v>
      </c>
      <c r="I21" s="5" t="s">
        <v>527</v>
      </c>
      <c r="J21" s="5" t="s">
        <v>152</v>
      </c>
      <c r="K21" s="5" t="s">
        <v>528</v>
      </c>
      <c r="L21" s="5" t="s">
        <v>529</v>
      </c>
      <c r="M21" s="5" t="s">
        <v>396</v>
      </c>
      <c r="N21" s="6" t="s">
        <v>530</v>
      </c>
    </row>
    <row r="22" spans="1:14" ht="77.25" customHeight="1">
      <c r="A22" s="4">
        <v>19</v>
      </c>
      <c r="B22" s="5" t="s">
        <v>134</v>
      </c>
      <c r="C22" s="5" t="s">
        <v>516</v>
      </c>
      <c r="D22" s="5" t="s">
        <v>531</v>
      </c>
      <c r="E22" s="5" t="s">
        <v>129</v>
      </c>
      <c r="F22" s="5" t="s">
        <v>518</v>
      </c>
      <c r="G22" s="5" t="s">
        <v>532</v>
      </c>
      <c r="H22" s="5" t="s">
        <v>520</v>
      </c>
      <c r="I22" s="5" t="s">
        <v>533</v>
      </c>
      <c r="J22" s="5" t="s">
        <v>152</v>
      </c>
      <c r="K22" s="5" t="s">
        <v>534</v>
      </c>
      <c r="L22" s="5" t="s">
        <v>535</v>
      </c>
      <c r="M22" s="5" t="s">
        <v>396</v>
      </c>
      <c r="N22" s="6" t="s">
        <v>536</v>
      </c>
    </row>
    <row r="23" spans="1:14" ht="77.25" customHeight="1">
      <c r="A23" s="4">
        <v>20</v>
      </c>
      <c r="B23" s="5" t="s">
        <v>268</v>
      </c>
      <c r="C23" s="5" t="s">
        <v>516</v>
      </c>
      <c r="D23" s="5" t="s">
        <v>537</v>
      </c>
      <c r="E23" s="5" t="s">
        <v>270</v>
      </c>
      <c r="F23" s="5" t="s">
        <v>538</v>
      </c>
      <c r="G23" s="5" t="s">
        <v>539</v>
      </c>
      <c r="H23" s="5" t="s">
        <v>520</v>
      </c>
      <c r="I23" s="5" t="s">
        <v>540</v>
      </c>
      <c r="J23" s="5" t="s">
        <v>275</v>
      </c>
      <c r="K23" s="5" t="s">
        <v>541</v>
      </c>
      <c r="L23" s="5" t="s">
        <v>542</v>
      </c>
      <c r="M23" s="5" t="s">
        <v>543</v>
      </c>
      <c r="N23" s="6" t="s">
        <v>544</v>
      </c>
    </row>
    <row r="24" spans="1:14" ht="77.25" customHeight="1">
      <c r="A24" s="4">
        <v>21</v>
      </c>
      <c r="B24" s="5" t="s">
        <v>268</v>
      </c>
      <c r="C24" s="5" t="s">
        <v>516</v>
      </c>
      <c r="D24" s="5" t="s">
        <v>545</v>
      </c>
      <c r="E24" s="5" t="s">
        <v>270</v>
      </c>
      <c r="F24" s="5" t="s">
        <v>538</v>
      </c>
      <c r="G24" s="5" t="s">
        <v>546</v>
      </c>
      <c r="H24" s="5" t="s">
        <v>547</v>
      </c>
      <c r="I24" s="5" t="s">
        <v>548</v>
      </c>
      <c r="J24" s="5" t="s">
        <v>275</v>
      </c>
      <c r="K24" s="5" t="s">
        <v>549</v>
      </c>
      <c r="L24" s="5" t="s">
        <v>550</v>
      </c>
      <c r="M24" s="5" t="s">
        <v>543</v>
      </c>
      <c r="N24" s="6" t="s">
        <v>551</v>
      </c>
    </row>
    <row r="25" spans="1:14" ht="77.25" customHeight="1">
      <c r="A25" s="4">
        <v>22</v>
      </c>
      <c r="B25" s="5" t="s">
        <v>134</v>
      </c>
      <c r="C25" s="5" t="s">
        <v>552</v>
      </c>
      <c r="D25" s="5" t="s">
        <v>553</v>
      </c>
      <c r="E25" s="5" t="s">
        <v>129</v>
      </c>
      <c r="F25" s="5" t="s">
        <v>518</v>
      </c>
      <c r="G25" s="5" t="s">
        <v>554</v>
      </c>
      <c r="H25" s="5" t="s">
        <v>217</v>
      </c>
      <c r="I25" s="5" t="s">
        <v>218</v>
      </c>
      <c r="J25" s="5" t="s">
        <v>152</v>
      </c>
      <c r="K25" s="5" t="s">
        <v>555</v>
      </c>
      <c r="L25" s="5" t="s">
        <v>220</v>
      </c>
      <c r="M25" s="5" t="s">
        <v>556</v>
      </c>
      <c r="N25" s="6" t="s">
        <v>557</v>
      </c>
    </row>
    <row r="26" spans="1:14" ht="77.25" customHeight="1">
      <c r="A26" s="4">
        <v>23</v>
      </c>
      <c r="B26" s="5" t="s">
        <v>134</v>
      </c>
      <c r="C26" s="5" t="s">
        <v>552</v>
      </c>
      <c r="D26" s="5" t="s">
        <v>558</v>
      </c>
      <c r="E26" s="5" t="s">
        <v>129</v>
      </c>
      <c r="F26" s="5" t="s">
        <v>559</v>
      </c>
      <c r="G26" s="5" t="s">
        <v>560</v>
      </c>
      <c r="H26" s="5" t="s">
        <v>506</v>
      </c>
      <c r="I26" s="5" t="s">
        <v>507</v>
      </c>
      <c r="J26" s="5" t="s">
        <v>152</v>
      </c>
      <c r="K26" s="5" t="s">
        <v>561</v>
      </c>
      <c r="L26" s="5" t="s">
        <v>509</v>
      </c>
      <c r="M26" s="5" t="s">
        <v>562</v>
      </c>
      <c r="N26" s="6" t="s">
        <v>563</v>
      </c>
    </row>
    <row r="27" spans="1:14" ht="77.25" customHeight="1">
      <c r="A27" s="4">
        <v>24</v>
      </c>
      <c r="B27" s="5" t="s">
        <v>134</v>
      </c>
      <c r="C27" s="5" t="s">
        <v>552</v>
      </c>
      <c r="D27" s="5" t="s">
        <v>564</v>
      </c>
      <c r="E27" s="5" t="s">
        <v>4</v>
      </c>
      <c r="F27" s="5" t="s">
        <v>565</v>
      </c>
      <c r="G27" s="5" t="s">
        <v>513</v>
      </c>
      <c r="H27" s="5" t="s">
        <v>209</v>
      </c>
      <c r="I27" s="5" t="s">
        <v>265</v>
      </c>
      <c r="J27" s="5" t="s">
        <v>152</v>
      </c>
      <c r="K27" s="5" t="s">
        <v>566</v>
      </c>
      <c r="L27" s="5" t="s">
        <v>140</v>
      </c>
      <c r="M27" s="5" t="s">
        <v>141</v>
      </c>
      <c r="N27" s="6" t="s">
        <v>567</v>
      </c>
    </row>
    <row r="28" spans="1:14" ht="77.25" customHeight="1">
      <c r="A28" s="4">
        <v>25</v>
      </c>
      <c r="B28" s="5" t="s">
        <v>134</v>
      </c>
      <c r="C28" s="5" t="s">
        <v>33</v>
      </c>
      <c r="D28" s="5" t="s">
        <v>568</v>
      </c>
      <c r="E28" s="5" t="s">
        <v>4</v>
      </c>
      <c r="F28" s="5" t="s">
        <v>569</v>
      </c>
      <c r="G28" s="5" t="s">
        <v>570</v>
      </c>
      <c r="H28" s="5" t="s">
        <v>139</v>
      </c>
      <c r="I28" s="5" t="s">
        <v>140</v>
      </c>
      <c r="J28" s="5" t="s">
        <v>140</v>
      </c>
      <c r="K28" s="5" t="s">
        <v>140</v>
      </c>
      <c r="L28" s="5" t="s">
        <v>140</v>
      </c>
      <c r="M28" s="5" t="s">
        <v>571</v>
      </c>
      <c r="N28" s="6" t="s">
        <v>572</v>
      </c>
    </row>
    <row r="29" spans="1:14" ht="77.25" customHeight="1">
      <c r="A29" s="4">
        <v>26</v>
      </c>
      <c r="B29" s="5" t="s">
        <v>134</v>
      </c>
      <c r="C29" s="5" t="s">
        <v>33</v>
      </c>
      <c r="D29" s="5" t="s">
        <v>573</v>
      </c>
      <c r="E29" s="5" t="s">
        <v>4</v>
      </c>
      <c r="F29" s="5" t="s">
        <v>574</v>
      </c>
      <c r="G29" s="5" t="s">
        <v>575</v>
      </c>
      <c r="H29" s="5" t="s">
        <v>209</v>
      </c>
      <c r="I29" s="5" t="s">
        <v>576</v>
      </c>
      <c r="J29" s="5" t="s">
        <v>152</v>
      </c>
      <c r="K29" s="5" t="s">
        <v>577</v>
      </c>
      <c r="L29" s="5" t="s">
        <v>578</v>
      </c>
      <c r="M29" s="5" t="s">
        <v>579</v>
      </c>
      <c r="N29" s="6" t="s">
        <v>580</v>
      </c>
    </row>
    <row r="30" spans="1:14" ht="77.25" customHeight="1">
      <c r="A30" s="4">
        <v>27</v>
      </c>
      <c r="B30" s="5" t="s">
        <v>134</v>
      </c>
      <c r="C30" s="5" t="s">
        <v>33</v>
      </c>
      <c r="D30" s="5" t="s">
        <v>581</v>
      </c>
      <c r="E30" s="5" t="s">
        <v>4</v>
      </c>
      <c r="F30" s="5" t="s">
        <v>582</v>
      </c>
      <c r="G30" s="5" t="s">
        <v>583</v>
      </c>
      <c r="H30" s="5" t="s">
        <v>506</v>
      </c>
      <c r="I30" s="5" t="s">
        <v>507</v>
      </c>
      <c r="J30" s="5" t="s">
        <v>152</v>
      </c>
      <c r="K30" s="5" t="s">
        <v>584</v>
      </c>
      <c r="L30" s="5" t="s">
        <v>509</v>
      </c>
      <c r="M30" s="5" t="s">
        <v>585</v>
      </c>
      <c r="N30" s="6" t="s">
        <v>586</v>
      </c>
    </row>
    <row r="31" spans="1:14" ht="77.25" customHeight="1">
      <c r="A31" s="4">
        <v>28</v>
      </c>
      <c r="B31" s="5" t="s">
        <v>134</v>
      </c>
      <c r="C31" s="5" t="s">
        <v>587</v>
      </c>
      <c r="D31" s="5" t="s">
        <v>588</v>
      </c>
      <c r="E31" s="5" t="s">
        <v>129</v>
      </c>
      <c r="F31" s="5" t="s">
        <v>589</v>
      </c>
      <c r="G31" s="5" t="s">
        <v>590</v>
      </c>
      <c r="H31" s="5" t="s">
        <v>217</v>
      </c>
      <c r="I31" s="5" t="s">
        <v>218</v>
      </c>
      <c r="J31" s="5" t="s">
        <v>152</v>
      </c>
      <c r="K31" s="5" t="s">
        <v>591</v>
      </c>
      <c r="L31" s="5" t="s">
        <v>220</v>
      </c>
      <c r="M31" s="5" t="s">
        <v>592</v>
      </c>
      <c r="N31" s="6" t="s">
        <v>593</v>
      </c>
    </row>
    <row r="32" spans="1:14" ht="77.25" customHeight="1">
      <c r="A32" s="4">
        <v>29</v>
      </c>
      <c r="B32" s="5" t="s">
        <v>134</v>
      </c>
      <c r="C32" s="5" t="s">
        <v>587</v>
      </c>
      <c r="D32" s="5" t="s">
        <v>594</v>
      </c>
      <c r="E32" s="5" t="s">
        <v>129</v>
      </c>
      <c r="F32" s="5" t="s">
        <v>589</v>
      </c>
      <c r="G32" s="5" t="s">
        <v>595</v>
      </c>
      <c r="H32" s="5" t="s">
        <v>506</v>
      </c>
      <c r="I32" s="5" t="s">
        <v>507</v>
      </c>
      <c r="J32" s="5" t="s">
        <v>152</v>
      </c>
      <c r="K32" s="5" t="s">
        <v>596</v>
      </c>
      <c r="L32" s="5" t="s">
        <v>509</v>
      </c>
      <c r="M32" s="5" t="s">
        <v>597</v>
      </c>
      <c r="N32" s="6" t="s">
        <v>598</v>
      </c>
    </row>
    <row r="33" spans="1:14" ht="77.25" customHeight="1">
      <c r="A33" s="4">
        <v>30</v>
      </c>
      <c r="B33" s="5" t="s">
        <v>134</v>
      </c>
      <c r="C33" s="5" t="s">
        <v>587</v>
      </c>
      <c r="D33" s="5" t="s">
        <v>599</v>
      </c>
      <c r="E33" s="5" t="s">
        <v>4</v>
      </c>
      <c r="F33" s="5" t="s">
        <v>589</v>
      </c>
      <c r="G33" s="5" t="s">
        <v>513</v>
      </c>
      <c r="H33" s="5" t="s">
        <v>209</v>
      </c>
      <c r="I33" s="5" t="s">
        <v>265</v>
      </c>
      <c r="J33" s="5" t="s">
        <v>152</v>
      </c>
      <c r="K33" s="5" t="s">
        <v>600</v>
      </c>
      <c r="L33" s="5" t="s">
        <v>140</v>
      </c>
      <c r="M33" s="5" t="s">
        <v>141</v>
      </c>
      <c r="N33" s="6" t="s">
        <v>601</v>
      </c>
    </row>
    <row r="34" spans="1:14" ht="77.25" customHeight="1">
      <c r="A34" s="4">
        <v>31</v>
      </c>
      <c r="B34" s="5" t="s">
        <v>134</v>
      </c>
      <c r="C34" s="5" t="s">
        <v>602</v>
      </c>
      <c r="D34" s="5" t="s">
        <v>603</v>
      </c>
      <c r="E34" s="5" t="s">
        <v>4</v>
      </c>
      <c r="F34" s="5" t="s">
        <v>589</v>
      </c>
      <c r="G34" s="5" t="s">
        <v>604</v>
      </c>
      <c r="H34" s="5" t="s">
        <v>376</v>
      </c>
      <c r="I34" s="5" t="s">
        <v>605</v>
      </c>
      <c r="J34" s="5" t="s">
        <v>152</v>
      </c>
      <c r="K34" s="5" t="s">
        <v>606</v>
      </c>
      <c r="L34" s="5" t="s">
        <v>140</v>
      </c>
      <c r="M34" s="5" t="s">
        <v>141</v>
      </c>
      <c r="N34" s="6" t="s">
        <v>607</v>
      </c>
    </row>
    <row r="35" spans="1:14" ht="77.25" customHeight="1">
      <c r="A35" s="4">
        <v>32</v>
      </c>
      <c r="B35" s="5" t="s">
        <v>134</v>
      </c>
      <c r="C35" s="5" t="s">
        <v>602</v>
      </c>
      <c r="D35" s="5" t="s">
        <v>608</v>
      </c>
      <c r="E35" s="5" t="s">
        <v>4</v>
      </c>
      <c r="F35" s="5" t="s">
        <v>589</v>
      </c>
      <c r="G35" s="5" t="s">
        <v>609</v>
      </c>
      <c r="H35" s="5" t="s">
        <v>273</v>
      </c>
      <c r="I35" s="5" t="s">
        <v>610</v>
      </c>
      <c r="J35" s="5" t="s">
        <v>152</v>
      </c>
      <c r="K35" s="5" t="s">
        <v>611</v>
      </c>
      <c r="L35" s="5" t="s">
        <v>140</v>
      </c>
      <c r="M35" s="5" t="s">
        <v>141</v>
      </c>
      <c r="N35" s="6" t="s">
        <v>612</v>
      </c>
    </row>
    <row r="36" spans="1:14" ht="77.25" customHeight="1">
      <c r="A36" s="4">
        <v>33</v>
      </c>
      <c r="B36" s="5" t="s">
        <v>134</v>
      </c>
      <c r="C36" s="5" t="s">
        <v>613</v>
      </c>
      <c r="D36" s="5" t="s">
        <v>614</v>
      </c>
      <c r="E36" s="5" t="s">
        <v>4</v>
      </c>
      <c r="F36" s="5" t="s">
        <v>589</v>
      </c>
      <c r="G36" s="5" t="s">
        <v>615</v>
      </c>
      <c r="H36" s="5" t="s">
        <v>376</v>
      </c>
      <c r="I36" s="5" t="s">
        <v>393</v>
      </c>
      <c r="J36" s="5" t="s">
        <v>152</v>
      </c>
      <c r="K36" s="5" t="s">
        <v>616</v>
      </c>
      <c r="L36" s="5" t="s">
        <v>140</v>
      </c>
      <c r="M36" s="5" t="s">
        <v>141</v>
      </c>
      <c r="N36" s="6" t="s">
        <v>617</v>
      </c>
    </row>
    <row r="37" spans="1:14" ht="77.25" customHeight="1">
      <c r="A37" s="4">
        <v>34</v>
      </c>
      <c r="B37" s="5" t="s">
        <v>134</v>
      </c>
      <c r="C37" s="5" t="s">
        <v>618</v>
      </c>
      <c r="D37" s="5" t="s">
        <v>619</v>
      </c>
      <c r="E37" s="5" t="s">
        <v>4</v>
      </c>
      <c r="F37" s="5" t="s">
        <v>589</v>
      </c>
      <c r="G37" s="5" t="s">
        <v>620</v>
      </c>
      <c r="H37" s="5" t="s">
        <v>376</v>
      </c>
      <c r="I37" s="5" t="s">
        <v>382</v>
      </c>
      <c r="J37" s="5" t="s">
        <v>152</v>
      </c>
      <c r="K37" s="5" t="s">
        <v>621</v>
      </c>
      <c r="L37" s="5" t="s">
        <v>140</v>
      </c>
      <c r="M37" s="5" t="s">
        <v>141</v>
      </c>
      <c r="N37" s="6" t="s">
        <v>622</v>
      </c>
    </row>
    <row r="38" spans="1:14" ht="77.25" customHeight="1">
      <c r="A38" s="4">
        <v>35</v>
      </c>
      <c r="B38" s="5" t="s">
        <v>134</v>
      </c>
      <c r="C38" s="5" t="s">
        <v>623</v>
      </c>
      <c r="D38" s="5" t="s">
        <v>624</v>
      </c>
      <c r="E38" s="5" t="s">
        <v>4</v>
      </c>
      <c r="F38" s="5" t="s">
        <v>589</v>
      </c>
      <c r="G38" s="5" t="s">
        <v>625</v>
      </c>
      <c r="H38" s="5" t="s">
        <v>150</v>
      </c>
      <c r="I38" s="5" t="s">
        <v>626</v>
      </c>
      <c r="J38" s="5" t="s">
        <v>152</v>
      </c>
      <c r="K38" s="5" t="s">
        <v>627</v>
      </c>
      <c r="L38" s="5" t="s">
        <v>628</v>
      </c>
      <c r="M38" s="5" t="s">
        <v>629</v>
      </c>
      <c r="N38" s="6" t="s">
        <v>630</v>
      </c>
    </row>
    <row r="39" spans="1:14" ht="77.25" customHeight="1">
      <c r="A39" s="4">
        <v>36</v>
      </c>
      <c r="B39" s="5" t="s">
        <v>134</v>
      </c>
      <c r="C39" s="5" t="s">
        <v>631</v>
      </c>
      <c r="D39" s="5" t="s">
        <v>632</v>
      </c>
      <c r="E39" s="5" t="s">
        <v>4</v>
      </c>
      <c r="F39" s="5" t="s">
        <v>416</v>
      </c>
      <c r="G39" s="5" t="s">
        <v>375</v>
      </c>
      <c r="H39" s="5" t="s">
        <v>376</v>
      </c>
      <c r="I39" s="5" t="s">
        <v>377</v>
      </c>
      <c r="J39" s="5" t="s">
        <v>152</v>
      </c>
      <c r="K39" s="5" t="s">
        <v>378</v>
      </c>
      <c r="L39" s="5" t="s">
        <v>140</v>
      </c>
      <c r="M39" s="5" t="s">
        <v>141</v>
      </c>
      <c r="N39" s="6" t="s">
        <v>633</v>
      </c>
    </row>
    <row r="40" spans="1:14" ht="77.25" customHeight="1">
      <c r="A40" s="4">
        <v>37</v>
      </c>
      <c r="B40" s="5" t="s">
        <v>134</v>
      </c>
      <c r="C40" s="5" t="s">
        <v>631</v>
      </c>
      <c r="D40" s="5" t="s">
        <v>634</v>
      </c>
      <c r="E40" s="5" t="s">
        <v>4</v>
      </c>
      <c r="F40" s="5" t="s">
        <v>416</v>
      </c>
      <c r="G40" s="5" t="s">
        <v>381</v>
      </c>
      <c r="H40" s="5" t="s">
        <v>376</v>
      </c>
      <c r="I40" s="5" t="s">
        <v>382</v>
      </c>
      <c r="J40" s="5" t="s">
        <v>152</v>
      </c>
      <c r="K40" s="5" t="s">
        <v>383</v>
      </c>
      <c r="L40" s="5" t="s">
        <v>140</v>
      </c>
      <c r="M40" s="5" t="s">
        <v>141</v>
      </c>
      <c r="N40" s="6" t="s">
        <v>635</v>
      </c>
    </row>
    <row r="41" spans="1:14" ht="77.25" customHeight="1">
      <c r="A41" s="4">
        <v>38</v>
      </c>
      <c r="B41" s="5" t="s">
        <v>134</v>
      </c>
      <c r="C41" s="5" t="s">
        <v>414</v>
      </c>
      <c r="D41" s="5" t="s">
        <v>636</v>
      </c>
      <c r="E41" s="5" t="s">
        <v>4</v>
      </c>
      <c r="F41" s="5" t="s">
        <v>416</v>
      </c>
      <c r="G41" s="5" t="s">
        <v>417</v>
      </c>
      <c r="H41" s="5" t="s">
        <v>150</v>
      </c>
      <c r="I41" s="5" t="s">
        <v>418</v>
      </c>
      <c r="J41" s="5" t="s">
        <v>152</v>
      </c>
      <c r="K41" s="5" t="s">
        <v>419</v>
      </c>
      <c r="L41" s="5" t="s">
        <v>140</v>
      </c>
      <c r="M41" s="5" t="s">
        <v>141</v>
      </c>
      <c r="N41" s="6" t="s">
        <v>420</v>
      </c>
    </row>
    <row r="42" spans="1:14" ht="77.25" customHeight="1">
      <c r="A42" s="4">
        <v>39</v>
      </c>
      <c r="B42" s="5" t="s">
        <v>134</v>
      </c>
      <c r="C42" s="5" t="s">
        <v>414</v>
      </c>
      <c r="D42" s="5" t="s">
        <v>637</v>
      </c>
      <c r="E42" s="5" t="s">
        <v>4</v>
      </c>
      <c r="F42" s="5" t="s">
        <v>416</v>
      </c>
      <c r="G42" s="5" t="s">
        <v>422</v>
      </c>
      <c r="H42" s="5" t="s">
        <v>150</v>
      </c>
      <c r="I42" s="5" t="s">
        <v>423</v>
      </c>
      <c r="J42" s="5" t="s">
        <v>152</v>
      </c>
      <c r="K42" s="5" t="s">
        <v>424</v>
      </c>
      <c r="L42" s="5" t="s">
        <v>140</v>
      </c>
      <c r="M42" s="5" t="s">
        <v>141</v>
      </c>
      <c r="N42" s="6" t="s">
        <v>638</v>
      </c>
    </row>
    <row r="43" spans="1:14" ht="77.25" customHeight="1">
      <c r="A43" s="4">
        <v>40</v>
      </c>
      <c r="B43" s="5" t="s">
        <v>134</v>
      </c>
      <c r="C43" s="5" t="s">
        <v>414</v>
      </c>
      <c r="D43" s="5" t="s">
        <v>639</v>
      </c>
      <c r="E43" s="5" t="s">
        <v>4</v>
      </c>
      <c r="F43" s="5" t="s">
        <v>416</v>
      </c>
      <c r="G43" s="5" t="s">
        <v>427</v>
      </c>
      <c r="H43" s="5" t="s">
        <v>150</v>
      </c>
      <c r="I43" s="5" t="s">
        <v>428</v>
      </c>
      <c r="J43" s="5" t="s">
        <v>152</v>
      </c>
      <c r="K43" s="5" t="s">
        <v>429</v>
      </c>
      <c r="L43" s="5" t="s">
        <v>140</v>
      </c>
      <c r="M43" s="5" t="s">
        <v>141</v>
      </c>
      <c r="N43" s="6" t="s">
        <v>140</v>
      </c>
    </row>
    <row r="44" spans="1:14" ht="77.25" customHeight="1">
      <c r="A44" s="4">
        <v>41</v>
      </c>
      <c r="B44" s="5" t="s">
        <v>134</v>
      </c>
      <c r="C44" s="5" t="s">
        <v>414</v>
      </c>
      <c r="D44" s="5" t="s">
        <v>640</v>
      </c>
      <c r="E44" s="5" t="s">
        <v>4</v>
      </c>
      <c r="F44" s="5" t="s">
        <v>416</v>
      </c>
      <c r="G44" s="5" t="s">
        <v>432</v>
      </c>
      <c r="H44" s="5" t="s">
        <v>150</v>
      </c>
      <c r="I44" s="5" t="s">
        <v>433</v>
      </c>
      <c r="J44" s="5" t="s">
        <v>152</v>
      </c>
      <c r="K44" s="5" t="s">
        <v>434</v>
      </c>
      <c r="L44" s="5" t="s">
        <v>140</v>
      </c>
      <c r="M44" s="5" t="s">
        <v>141</v>
      </c>
      <c r="N44" s="6" t="s">
        <v>140</v>
      </c>
    </row>
    <row r="45" spans="1:14" ht="77.25" customHeight="1">
      <c r="A45" s="7">
        <v>42</v>
      </c>
      <c r="B45" s="8" t="s">
        <v>268</v>
      </c>
      <c r="C45" s="8" t="s">
        <v>441</v>
      </c>
      <c r="D45" s="8" t="s">
        <v>641</v>
      </c>
      <c r="E45" s="8" t="s">
        <v>270</v>
      </c>
      <c r="F45" s="8" t="s">
        <v>416</v>
      </c>
      <c r="G45" s="8" t="s">
        <v>443</v>
      </c>
      <c r="H45" s="8" t="s">
        <v>335</v>
      </c>
      <c r="I45" s="8" t="s">
        <v>444</v>
      </c>
      <c r="J45" s="8" t="s">
        <v>275</v>
      </c>
      <c r="K45" s="8" t="s">
        <v>445</v>
      </c>
      <c r="L45" s="8" t="s">
        <v>140</v>
      </c>
      <c r="M45" s="8" t="s">
        <v>141</v>
      </c>
      <c r="N45" s="9" t="s">
        <v>642</v>
      </c>
    </row>
  </sheetData>
  <mergeCells count="2">
    <mergeCell ref="A1:N1"/>
    <mergeCell ref="A2:N2"/>
  </mergeCells>
  <phoneticPr fontId="8"/>
  <conditionalFormatting sqref="B4:B45">
    <cfRule type="expression" dxfId="10" priority="1">
      <formula>B4="採用"</formula>
    </cfRule>
    <cfRule type="expression" dxfId="9" priority="2">
      <formula>B4="保留"</formula>
    </cfRule>
  </conditionalFormatting>
  <conditionalFormatting sqref="E4:E45">
    <cfRule type="expression" dxfId="8" priority="3">
      <formula>E4="必須"</formula>
    </cfRule>
    <cfRule type="expression" dxfId="7" priority="4">
      <formula>E4="要設計判断"</formula>
    </cfRule>
  </conditionalFormatting>
  <dataValidations count="1">
    <dataValidation type="list" sqref="B4:B45" xr:uid="{00000000-0002-0000-0200-000000000000}">
      <formula1>"採用,保留,除外"</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1"/>
  <sheetViews>
    <sheetView topLeftCell="D1" workbookViewId="0">
      <selection sqref="A1:P1"/>
    </sheetView>
  </sheetViews>
  <sheetFormatPr baseColWidth="10" defaultColWidth="8.83203125" defaultRowHeight="14"/>
  <cols>
    <col min="1" max="1" width="22" customWidth="1"/>
    <col min="2" max="2" width="18" customWidth="1"/>
    <col min="3" max="3" width="16" customWidth="1"/>
    <col min="4" max="4" width="45" customWidth="1"/>
    <col min="5" max="5" width="42" customWidth="1"/>
    <col min="6" max="6" width="48" customWidth="1"/>
    <col min="7" max="7" width="26" customWidth="1"/>
    <col min="8" max="8" width="42" customWidth="1"/>
    <col min="9" max="9" width="28" customWidth="1"/>
    <col min="10" max="11" width="25" customWidth="1"/>
    <col min="12" max="12" width="18" customWidth="1"/>
    <col min="13" max="13" width="27" customWidth="1"/>
    <col min="14" max="14" width="38" customWidth="1"/>
    <col min="15" max="16" width="48" customWidth="1"/>
  </cols>
  <sheetData>
    <row r="1" spans="1:16" ht="40" customHeight="1">
      <c r="A1" s="14" t="s">
        <v>643</v>
      </c>
      <c r="B1" s="14"/>
      <c r="C1" s="14"/>
      <c r="D1" s="14"/>
      <c r="E1" s="14"/>
      <c r="F1" s="14"/>
      <c r="G1" s="14"/>
      <c r="H1" s="14"/>
      <c r="I1" s="14"/>
      <c r="J1" s="14"/>
      <c r="K1" s="14"/>
      <c r="L1" s="14"/>
      <c r="M1" s="14"/>
      <c r="N1" s="14"/>
      <c r="O1" s="14"/>
      <c r="P1" s="14"/>
    </row>
    <row r="2" spans="1:16" ht="50.75" customHeight="1">
      <c r="A2" s="15" t="s">
        <v>644</v>
      </c>
      <c r="B2" s="15"/>
      <c r="C2" s="15"/>
      <c r="D2" s="15"/>
      <c r="E2" s="15"/>
      <c r="F2" s="15"/>
      <c r="G2" s="15"/>
      <c r="H2" s="15"/>
      <c r="I2" s="15"/>
      <c r="J2" s="15"/>
      <c r="K2" s="15"/>
      <c r="L2" s="15"/>
      <c r="M2" s="15"/>
      <c r="N2" s="15"/>
      <c r="O2" s="15"/>
      <c r="P2" s="15"/>
    </row>
    <row r="3" spans="1:16" ht="45.25" customHeight="1">
      <c r="A3" s="1" t="s">
        <v>131</v>
      </c>
      <c r="B3" s="2" t="s">
        <v>645</v>
      </c>
      <c r="C3" s="2" t="s">
        <v>646</v>
      </c>
      <c r="D3" s="2" t="s">
        <v>647</v>
      </c>
      <c r="E3" s="2" t="s">
        <v>396</v>
      </c>
      <c r="F3" s="2" t="s">
        <v>648</v>
      </c>
      <c r="G3" s="2" t="s">
        <v>649</v>
      </c>
      <c r="H3" s="2" t="s">
        <v>650</v>
      </c>
      <c r="I3" s="2" t="s">
        <v>651</v>
      </c>
      <c r="J3" s="2" t="s">
        <v>652</v>
      </c>
      <c r="K3" s="2" t="s">
        <v>653</v>
      </c>
      <c r="L3" s="2" t="s">
        <v>654</v>
      </c>
      <c r="M3" s="2" t="s">
        <v>655</v>
      </c>
      <c r="N3" s="2" t="s">
        <v>656</v>
      </c>
      <c r="O3" s="2" t="s">
        <v>657</v>
      </c>
      <c r="P3" s="3" t="s">
        <v>658</v>
      </c>
    </row>
    <row r="4" spans="1:16" ht="98.75" customHeight="1">
      <c r="A4" s="4" t="s">
        <v>314</v>
      </c>
      <c r="B4" s="5" t="s">
        <v>659</v>
      </c>
      <c r="C4" s="5" t="s">
        <v>660</v>
      </c>
      <c r="D4" s="5" t="s">
        <v>661</v>
      </c>
      <c r="E4" s="5" t="s">
        <v>662</v>
      </c>
      <c r="F4" s="5" t="s">
        <v>663</v>
      </c>
      <c r="G4" s="5" t="s">
        <v>664</v>
      </c>
      <c r="H4" s="5" t="s">
        <v>665</v>
      </c>
      <c r="I4" s="5" t="s">
        <v>666</v>
      </c>
      <c r="J4" s="5" t="s">
        <v>667</v>
      </c>
      <c r="K4" s="5" t="s">
        <v>668</v>
      </c>
      <c r="L4" s="5" t="s">
        <v>669</v>
      </c>
      <c r="M4" s="5" t="s">
        <v>670</v>
      </c>
      <c r="N4" s="5" t="s">
        <v>671</v>
      </c>
      <c r="O4" s="5" t="s">
        <v>672</v>
      </c>
      <c r="P4" s="6" t="s">
        <v>673</v>
      </c>
    </row>
    <row r="5" spans="1:16" ht="98.75" customHeight="1">
      <c r="A5" s="4" t="s">
        <v>220</v>
      </c>
      <c r="B5" s="5" t="s">
        <v>674</v>
      </c>
      <c r="C5" s="5" t="s">
        <v>660</v>
      </c>
      <c r="D5" s="5" t="s">
        <v>675</v>
      </c>
      <c r="E5" s="5" t="s">
        <v>676</v>
      </c>
      <c r="F5" s="5" t="s">
        <v>677</v>
      </c>
      <c r="G5" s="5" t="s">
        <v>678</v>
      </c>
      <c r="H5" s="5" t="s">
        <v>665</v>
      </c>
      <c r="I5" s="5" t="s">
        <v>666</v>
      </c>
      <c r="J5" s="5" t="s">
        <v>667</v>
      </c>
      <c r="K5" s="5" t="s">
        <v>668</v>
      </c>
      <c r="L5" s="5" t="s">
        <v>669</v>
      </c>
      <c r="M5" s="5" t="s">
        <v>670</v>
      </c>
      <c r="N5" s="5" t="s">
        <v>671</v>
      </c>
      <c r="O5" s="5" t="s">
        <v>672</v>
      </c>
      <c r="P5" s="6" t="s">
        <v>679</v>
      </c>
    </row>
    <row r="6" spans="1:16" ht="98.75" customHeight="1">
      <c r="A6" s="4" t="s">
        <v>245</v>
      </c>
      <c r="B6" s="5" t="s">
        <v>680</v>
      </c>
      <c r="C6" s="5" t="s">
        <v>660</v>
      </c>
      <c r="D6" s="5" t="s">
        <v>681</v>
      </c>
      <c r="E6" s="5" t="s">
        <v>682</v>
      </c>
      <c r="F6" s="5" t="s">
        <v>242</v>
      </c>
      <c r="G6" s="5" t="s">
        <v>683</v>
      </c>
      <c r="H6" s="5" t="s">
        <v>665</v>
      </c>
      <c r="I6" s="5" t="s">
        <v>666</v>
      </c>
      <c r="J6" s="5" t="s">
        <v>667</v>
      </c>
      <c r="K6" s="5" t="s">
        <v>668</v>
      </c>
      <c r="L6" s="5" t="s">
        <v>669</v>
      </c>
      <c r="M6" s="5" t="s">
        <v>670</v>
      </c>
      <c r="N6" s="5" t="s">
        <v>671</v>
      </c>
      <c r="O6" s="5" t="s">
        <v>672</v>
      </c>
      <c r="P6" s="6" t="s">
        <v>684</v>
      </c>
    </row>
    <row r="7" spans="1:16" ht="98.75" customHeight="1">
      <c r="A7" s="4" t="s">
        <v>198</v>
      </c>
      <c r="B7" s="5" t="s">
        <v>685</v>
      </c>
      <c r="C7" s="5" t="s">
        <v>686</v>
      </c>
      <c r="D7" s="5" t="s">
        <v>687</v>
      </c>
      <c r="E7" s="5" t="s">
        <v>688</v>
      </c>
      <c r="F7" s="5" t="s">
        <v>462</v>
      </c>
      <c r="G7" s="5" t="s">
        <v>689</v>
      </c>
      <c r="H7" s="5" t="s">
        <v>665</v>
      </c>
      <c r="I7" s="5" t="s">
        <v>666</v>
      </c>
      <c r="J7" s="5" t="s">
        <v>667</v>
      </c>
      <c r="K7" s="5" t="s">
        <v>668</v>
      </c>
      <c r="L7" s="5" t="s">
        <v>669</v>
      </c>
      <c r="M7" s="5" t="s">
        <v>690</v>
      </c>
      <c r="N7" s="5" t="s">
        <v>671</v>
      </c>
      <c r="O7" s="5" t="s">
        <v>672</v>
      </c>
      <c r="P7" s="6" t="s">
        <v>691</v>
      </c>
    </row>
    <row r="8" spans="1:16" ht="98.75" customHeight="1">
      <c r="A8" s="4" t="s">
        <v>286</v>
      </c>
      <c r="B8" s="5" t="s">
        <v>692</v>
      </c>
      <c r="C8" s="5" t="s">
        <v>686</v>
      </c>
      <c r="D8" s="5" t="s">
        <v>693</v>
      </c>
      <c r="E8" s="5" t="s">
        <v>694</v>
      </c>
      <c r="F8" s="5" t="s">
        <v>283</v>
      </c>
      <c r="G8" s="5" t="s">
        <v>209</v>
      </c>
      <c r="H8" s="5" t="s">
        <v>665</v>
      </c>
      <c r="I8" s="5" t="s">
        <v>666</v>
      </c>
      <c r="J8" s="5" t="s">
        <v>667</v>
      </c>
      <c r="K8" s="5" t="s">
        <v>668</v>
      </c>
      <c r="L8" s="5" t="s">
        <v>669</v>
      </c>
      <c r="M8" s="5" t="s">
        <v>695</v>
      </c>
      <c r="N8" s="5" t="s">
        <v>671</v>
      </c>
      <c r="O8" s="5" t="s">
        <v>672</v>
      </c>
      <c r="P8" s="6" t="s">
        <v>696</v>
      </c>
    </row>
    <row r="9" spans="1:16" ht="98.75" customHeight="1">
      <c r="A9" s="4" t="s">
        <v>697</v>
      </c>
      <c r="B9" s="5" t="s">
        <v>698</v>
      </c>
      <c r="C9" s="5" t="s">
        <v>660</v>
      </c>
      <c r="D9" s="5" t="s">
        <v>699</v>
      </c>
      <c r="E9" s="5" t="s">
        <v>700</v>
      </c>
      <c r="F9" s="5" t="s">
        <v>224</v>
      </c>
      <c r="G9" s="5" t="s">
        <v>701</v>
      </c>
      <c r="H9" s="5" t="s">
        <v>702</v>
      </c>
      <c r="I9" s="5" t="s">
        <v>703</v>
      </c>
      <c r="J9" s="5" t="s">
        <v>704</v>
      </c>
      <c r="K9" s="5" t="s">
        <v>705</v>
      </c>
      <c r="L9" s="5" t="s">
        <v>669</v>
      </c>
      <c r="M9" s="5" t="s">
        <v>706</v>
      </c>
      <c r="N9" s="5" t="s">
        <v>707</v>
      </c>
      <c r="O9" s="5" t="s">
        <v>708</v>
      </c>
      <c r="P9" s="6" t="s">
        <v>709</v>
      </c>
    </row>
    <row r="10" spans="1:16" ht="98.75" customHeight="1">
      <c r="A10" s="4" t="s">
        <v>277</v>
      </c>
      <c r="B10" s="5" t="s">
        <v>710</v>
      </c>
      <c r="C10" s="5" t="s">
        <v>660</v>
      </c>
      <c r="D10" s="5" t="s">
        <v>711</v>
      </c>
      <c r="E10" s="5" t="s">
        <v>712</v>
      </c>
      <c r="F10" s="5" t="s">
        <v>272</v>
      </c>
      <c r="G10" s="5" t="s">
        <v>713</v>
      </c>
      <c r="H10" s="5" t="s">
        <v>702</v>
      </c>
      <c r="I10" s="5" t="s">
        <v>703</v>
      </c>
      <c r="J10" s="5" t="s">
        <v>704</v>
      </c>
      <c r="K10" s="5" t="s">
        <v>705</v>
      </c>
      <c r="L10" s="5" t="s">
        <v>669</v>
      </c>
      <c r="M10" s="5" t="s">
        <v>714</v>
      </c>
      <c r="N10" s="5" t="s">
        <v>707</v>
      </c>
      <c r="O10" s="5" t="s">
        <v>708</v>
      </c>
      <c r="P10" s="6" t="s">
        <v>715</v>
      </c>
    </row>
    <row r="11" spans="1:16" ht="98.75" customHeight="1">
      <c r="A11" s="4" t="s">
        <v>716</v>
      </c>
      <c r="B11" s="5" t="s">
        <v>717</v>
      </c>
      <c r="C11" s="5" t="s">
        <v>660</v>
      </c>
      <c r="D11" s="5" t="s">
        <v>718</v>
      </c>
      <c r="E11" s="5" t="s">
        <v>719</v>
      </c>
      <c r="F11" s="5" t="s">
        <v>224</v>
      </c>
      <c r="G11" s="5" t="s">
        <v>720</v>
      </c>
      <c r="H11" s="5" t="s">
        <v>721</v>
      </c>
      <c r="I11" s="5" t="s">
        <v>722</v>
      </c>
      <c r="J11" s="5" t="s">
        <v>667</v>
      </c>
      <c r="K11" s="5" t="s">
        <v>723</v>
      </c>
      <c r="L11" s="5" t="s">
        <v>669</v>
      </c>
      <c r="M11" s="5" t="s">
        <v>724</v>
      </c>
      <c r="N11" s="5" t="s">
        <v>725</v>
      </c>
      <c r="O11" s="5" t="s">
        <v>726</v>
      </c>
      <c r="P11" s="6" t="s">
        <v>727</v>
      </c>
    </row>
    <row r="12" spans="1:16" ht="98.75" customHeight="1">
      <c r="A12" s="4" t="s">
        <v>523</v>
      </c>
      <c r="B12" s="5" t="s">
        <v>728</v>
      </c>
      <c r="C12" s="5" t="s">
        <v>660</v>
      </c>
      <c r="D12" s="5" t="s">
        <v>729</v>
      </c>
      <c r="E12" s="5" t="s">
        <v>730</v>
      </c>
      <c r="F12" s="5" t="s">
        <v>731</v>
      </c>
      <c r="G12" s="5" t="s">
        <v>520</v>
      </c>
      <c r="H12" s="5" t="s">
        <v>732</v>
      </c>
      <c r="I12" s="5" t="s">
        <v>733</v>
      </c>
      <c r="J12" s="5" t="s">
        <v>704</v>
      </c>
      <c r="K12" s="5" t="s">
        <v>734</v>
      </c>
      <c r="L12" s="5" t="s">
        <v>669</v>
      </c>
      <c r="M12" s="5" t="s">
        <v>735</v>
      </c>
      <c r="N12" s="5" t="s">
        <v>736</v>
      </c>
      <c r="O12" s="5" t="s">
        <v>737</v>
      </c>
      <c r="P12" s="6" t="s">
        <v>738</v>
      </c>
    </row>
    <row r="13" spans="1:16" ht="98.75" customHeight="1">
      <c r="A13" s="4" t="s">
        <v>529</v>
      </c>
      <c r="B13" s="5" t="s">
        <v>739</v>
      </c>
      <c r="C13" s="5" t="s">
        <v>660</v>
      </c>
      <c r="D13" s="5" t="s">
        <v>740</v>
      </c>
      <c r="E13" s="5" t="s">
        <v>741</v>
      </c>
      <c r="F13" s="5" t="s">
        <v>526</v>
      </c>
      <c r="G13" s="5" t="s">
        <v>520</v>
      </c>
      <c r="H13" s="5" t="s">
        <v>732</v>
      </c>
      <c r="I13" s="5" t="s">
        <v>733</v>
      </c>
      <c r="J13" s="5" t="s">
        <v>704</v>
      </c>
      <c r="K13" s="5" t="s">
        <v>734</v>
      </c>
      <c r="L13" s="5" t="s">
        <v>669</v>
      </c>
      <c r="M13" s="5" t="s">
        <v>735</v>
      </c>
      <c r="N13" s="5" t="s">
        <v>736</v>
      </c>
      <c r="O13" s="5" t="s">
        <v>737</v>
      </c>
      <c r="P13" s="6" t="s">
        <v>742</v>
      </c>
    </row>
    <row r="14" spans="1:16" ht="98.75" customHeight="1">
      <c r="A14" s="4" t="s">
        <v>535</v>
      </c>
      <c r="B14" s="5" t="s">
        <v>743</v>
      </c>
      <c r="C14" s="5" t="s">
        <v>660</v>
      </c>
      <c r="D14" s="5" t="s">
        <v>744</v>
      </c>
      <c r="E14" s="5" t="s">
        <v>745</v>
      </c>
      <c r="F14" s="5" t="s">
        <v>532</v>
      </c>
      <c r="G14" s="5" t="s">
        <v>520</v>
      </c>
      <c r="H14" s="5" t="s">
        <v>732</v>
      </c>
      <c r="I14" s="5" t="s">
        <v>733</v>
      </c>
      <c r="J14" s="5" t="s">
        <v>704</v>
      </c>
      <c r="K14" s="5" t="s">
        <v>734</v>
      </c>
      <c r="L14" s="5" t="s">
        <v>669</v>
      </c>
      <c r="M14" s="5" t="s">
        <v>735</v>
      </c>
      <c r="N14" s="5" t="s">
        <v>736</v>
      </c>
      <c r="O14" s="5" t="s">
        <v>737</v>
      </c>
      <c r="P14" s="6" t="s">
        <v>746</v>
      </c>
    </row>
    <row r="15" spans="1:16" ht="98.75" customHeight="1">
      <c r="A15" s="4" t="s">
        <v>542</v>
      </c>
      <c r="B15" s="5" t="s">
        <v>747</v>
      </c>
      <c r="C15" s="5" t="s">
        <v>686</v>
      </c>
      <c r="D15" s="5" t="s">
        <v>748</v>
      </c>
      <c r="E15" s="5" t="s">
        <v>749</v>
      </c>
      <c r="F15" s="5" t="s">
        <v>539</v>
      </c>
      <c r="G15" s="5" t="s">
        <v>750</v>
      </c>
      <c r="H15" s="5" t="s">
        <v>732</v>
      </c>
      <c r="I15" s="5" t="s">
        <v>733</v>
      </c>
      <c r="J15" s="5" t="s">
        <v>704</v>
      </c>
      <c r="K15" s="5" t="s">
        <v>734</v>
      </c>
      <c r="L15" s="5" t="s">
        <v>669</v>
      </c>
      <c r="M15" s="5" t="s">
        <v>751</v>
      </c>
      <c r="N15" s="5" t="s">
        <v>736</v>
      </c>
      <c r="O15" s="5" t="s">
        <v>737</v>
      </c>
      <c r="P15" s="6" t="s">
        <v>752</v>
      </c>
    </row>
    <row r="16" spans="1:16" ht="98.75" customHeight="1">
      <c r="A16" s="4" t="s">
        <v>550</v>
      </c>
      <c r="B16" s="5" t="s">
        <v>753</v>
      </c>
      <c r="C16" s="5" t="s">
        <v>686</v>
      </c>
      <c r="D16" s="5" t="s">
        <v>754</v>
      </c>
      <c r="E16" s="5" t="s">
        <v>755</v>
      </c>
      <c r="F16" s="5" t="s">
        <v>546</v>
      </c>
      <c r="G16" s="5" t="s">
        <v>750</v>
      </c>
      <c r="H16" s="5" t="s">
        <v>732</v>
      </c>
      <c r="I16" s="5" t="s">
        <v>733</v>
      </c>
      <c r="J16" s="5" t="s">
        <v>704</v>
      </c>
      <c r="K16" s="5" t="s">
        <v>734</v>
      </c>
      <c r="L16" s="5" t="s">
        <v>669</v>
      </c>
      <c r="M16" s="5" t="s">
        <v>751</v>
      </c>
      <c r="N16" s="5" t="s">
        <v>736</v>
      </c>
      <c r="O16" s="5" t="s">
        <v>737</v>
      </c>
      <c r="P16" s="6" t="s">
        <v>756</v>
      </c>
    </row>
    <row r="17" spans="1:16" ht="98.75" customHeight="1">
      <c r="A17" s="4" t="s">
        <v>509</v>
      </c>
      <c r="B17" s="5" t="s">
        <v>757</v>
      </c>
      <c r="C17" s="5" t="s">
        <v>660</v>
      </c>
      <c r="D17" s="5" t="s">
        <v>758</v>
      </c>
      <c r="E17" s="5" t="s">
        <v>759</v>
      </c>
      <c r="F17" s="5" t="s">
        <v>760</v>
      </c>
      <c r="G17" s="5" t="s">
        <v>761</v>
      </c>
      <c r="H17" s="5" t="s">
        <v>762</v>
      </c>
      <c r="I17" s="5" t="s">
        <v>763</v>
      </c>
      <c r="J17" s="5" t="s">
        <v>764</v>
      </c>
      <c r="K17" s="5" t="s">
        <v>765</v>
      </c>
      <c r="L17" s="5" t="s">
        <v>669</v>
      </c>
      <c r="M17" s="5" t="s">
        <v>766</v>
      </c>
      <c r="N17" s="5" t="s">
        <v>767</v>
      </c>
      <c r="O17" s="5" t="s">
        <v>768</v>
      </c>
      <c r="P17" s="6" t="s">
        <v>769</v>
      </c>
    </row>
    <row r="18" spans="1:16" ht="98.75" customHeight="1">
      <c r="A18" s="4" t="s">
        <v>770</v>
      </c>
      <c r="B18" s="5" t="s">
        <v>771</v>
      </c>
      <c r="C18" s="5" t="s">
        <v>686</v>
      </c>
      <c r="D18" s="5" t="s">
        <v>772</v>
      </c>
      <c r="E18" s="5" t="s">
        <v>773</v>
      </c>
      <c r="F18" s="5" t="s">
        <v>774</v>
      </c>
      <c r="G18" s="5" t="s">
        <v>775</v>
      </c>
      <c r="H18" s="5" t="s">
        <v>776</v>
      </c>
      <c r="I18" s="5" t="s">
        <v>777</v>
      </c>
      <c r="J18" s="5" t="s">
        <v>667</v>
      </c>
      <c r="K18" s="5" t="s">
        <v>778</v>
      </c>
      <c r="L18" s="5" t="s">
        <v>669</v>
      </c>
      <c r="M18" s="5" t="s">
        <v>779</v>
      </c>
      <c r="N18" s="5" t="s">
        <v>780</v>
      </c>
      <c r="O18" s="5" t="s">
        <v>781</v>
      </c>
      <c r="P18" s="6" t="s">
        <v>782</v>
      </c>
    </row>
    <row r="19" spans="1:16" ht="98.75" customHeight="1">
      <c r="A19" s="4" t="s">
        <v>395</v>
      </c>
      <c r="B19" s="5" t="s">
        <v>783</v>
      </c>
      <c r="C19" s="5" t="s">
        <v>660</v>
      </c>
      <c r="D19" s="5" t="s">
        <v>784</v>
      </c>
      <c r="E19" s="5" t="s">
        <v>785</v>
      </c>
      <c r="F19" s="5" t="s">
        <v>786</v>
      </c>
      <c r="G19" s="5" t="s">
        <v>787</v>
      </c>
      <c r="H19" s="5" t="s">
        <v>788</v>
      </c>
      <c r="I19" s="5" t="s">
        <v>789</v>
      </c>
      <c r="J19" s="5" t="s">
        <v>790</v>
      </c>
      <c r="K19" s="5" t="s">
        <v>791</v>
      </c>
      <c r="L19" s="5" t="s">
        <v>792</v>
      </c>
      <c r="M19" s="5" t="s">
        <v>793</v>
      </c>
      <c r="N19" s="5" t="s">
        <v>794</v>
      </c>
      <c r="O19" s="5" t="s">
        <v>795</v>
      </c>
      <c r="P19" s="6" t="s">
        <v>796</v>
      </c>
    </row>
    <row r="20" spans="1:16" ht="98.75" customHeight="1">
      <c r="A20" s="4" t="s">
        <v>401</v>
      </c>
      <c r="B20" s="5" t="s">
        <v>797</v>
      </c>
      <c r="C20" s="5" t="s">
        <v>660</v>
      </c>
      <c r="D20" s="5" t="s">
        <v>798</v>
      </c>
      <c r="E20" s="5" t="s">
        <v>799</v>
      </c>
      <c r="F20" s="5" t="s">
        <v>786</v>
      </c>
      <c r="G20" s="5" t="s">
        <v>787</v>
      </c>
      <c r="H20" s="5" t="s">
        <v>788</v>
      </c>
      <c r="I20" s="5" t="s">
        <v>789</v>
      </c>
      <c r="J20" s="5" t="s">
        <v>790</v>
      </c>
      <c r="K20" s="5" t="s">
        <v>791</v>
      </c>
      <c r="L20" s="5" t="s">
        <v>792</v>
      </c>
      <c r="M20" s="5" t="s">
        <v>793</v>
      </c>
      <c r="N20" s="5" t="s">
        <v>794</v>
      </c>
      <c r="O20" s="5" t="s">
        <v>795</v>
      </c>
      <c r="P20" s="6" t="s">
        <v>800</v>
      </c>
    </row>
    <row r="21" spans="1:16" ht="98.75" customHeight="1">
      <c r="A21" s="7" t="s">
        <v>406</v>
      </c>
      <c r="B21" s="8" t="s">
        <v>801</v>
      </c>
      <c r="C21" s="8" t="s">
        <v>686</v>
      </c>
      <c r="D21" s="8" t="s">
        <v>802</v>
      </c>
      <c r="E21" s="8" t="s">
        <v>803</v>
      </c>
      <c r="F21" s="8" t="s">
        <v>804</v>
      </c>
      <c r="G21" s="8" t="s">
        <v>805</v>
      </c>
      <c r="H21" s="8" t="s">
        <v>788</v>
      </c>
      <c r="I21" s="8" t="s">
        <v>789</v>
      </c>
      <c r="J21" s="8" t="s">
        <v>790</v>
      </c>
      <c r="K21" s="8" t="s">
        <v>791</v>
      </c>
      <c r="L21" s="8" t="s">
        <v>792</v>
      </c>
      <c r="M21" s="8" t="s">
        <v>806</v>
      </c>
      <c r="N21" s="8" t="s">
        <v>794</v>
      </c>
      <c r="O21" s="8" t="s">
        <v>795</v>
      </c>
      <c r="P21" s="9" t="s">
        <v>807</v>
      </c>
    </row>
  </sheetData>
  <mergeCells count="2">
    <mergeCell ref="A1:P1"/>
    <mergeCell ref="A2:P2"/>
  </mergeCells>
  <phoneticPr fontId="8"/>
  <conditionalFormatting sqref="C4:C21">
    <cfRule type="expression" dxfId="6" priority="1">
      <formula>C4="短い原文引用"</formula>
    </cfRule>
  </conditionalFormatting>
  <conditionalFormatting sqref="L4:L21">
    <cfRule type="expression" dxfId="5" priority="2">
      <formula>L4="トップ誌"</formula>
    </cfRule>
    <cfRule type="expression" dxfId="4" priority="3">
      <formula>L4="主要専門誌（補助）"</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3"/>
  <sheetViews>
    <sheetView workbookViewId="0">
      <selection sqref="A1:G1"/>
    </sheetView>
  </sheetViews>
  <sheetFormatPr baseColWidth="10" defaultColWidth="8.83203125" defaultRowHeight="14"/>
  <cols>
    <col min="1" max="1" width="14" customWidth="1"/>
    <col min="2" max="2" width="23" customWidth="1"/>
    <col min="3" max="3" width="25" customWidth="1"/>
    <col min="4" max="4" width="34" customWidth="1"/>
    <col min="5" max="5" width="21" customWidth="1"/>
    <col min="6" max="6" width="16" customWidth="1"/>
    <col min="7" max="7" width="42" customWidth="1"/>
  </cols>
  <sheetData>
    <row r="1" spans="1:7" ht="40" customHeight="1">
      <c r="A1" s="14" t="s">
        <v>808</v>
      </c>
      <c r="B1" s="14"/>
      <c r="C1" s="14"/>
      <c r="D1" s="14"/>
      <c r="E1" s="14"/>
      <c r="F1" s="14"/>
      <c r="G1" s="14"/>
    </row>
    <row r="2" spans="1:7" ht="50.75" customHeight="1">
      <c r="A2" s="15" t="s">
        <v>809</v>
      </c>
      <c r="B2" s="15"/>
      <c r="C2" s="15"/>
      <c r="D2" s="15"/>
      <c r="E2" s="15"/>
      <c r="F2" s="15"/>
      <c r="G2" s="15"/>
    </row>
    <row r="3" spans="1:7" ht="45.25" customHeight="1">
      <c r="A3" s="1" t="s">
        <v>810</v>
      </c>
      <c r="B3" s="2" t="s">
        <v>811</v>
      </c>
      <c r="C3" s="2" t="s">
        <v>812</v>
      </c>
      <c r="D3" s="2" t="s">
        <v>813</v>
      </c>
      <c r="E3" s="2" t="s">
        <v>814</v>
      </c>
      <c r="F3" s="2" t="s">
        <v>815</v>
      </c>
      <c r="G3" s="3" t="s">
        <v>816</v>
      </c>
    </row>
    <row r="4" spans="1:7" ht="40" customHeight="1">
      <c r="A4" s="4" t="s">
        <v>817</v>
      </c>
      <c r="B4" s="5" t="s">
        <v>818</v>
      </c>
      <c r="C4" s="5" t="s">
        <v>819</v>
      </c>
      <c r="D4" s="5" t="s">
        <v>819</v>
      </c>
      <c r="E4" s="10"/>
      <c r="F4" s="5" t="str">
        <f t="shared" ref="F4:F43" si="0">IF(E4="","",IF(E4&gt;=0.2,"維持","差替候補"))</f>
        <v/>
      </c>
      <c r="G4" s="6" t="s">
        <v>820</v>
      </c>
    </row>
    <row r="5" spans="1:7" ht="40" customHeight="1">
      <c r="A5" s="4" t="s">
        <v>821</v>
      </c>
      <c r="B5" s="5" t="s">
        <v>818</v>
      </c>
      <c r="C5" s="5" t="s">
        <v>822</v>
      </c>
      <c r="D5" s="5" t="s">
        <v>822</v>
      </c>
      <c r="E5" s="10"/>
      <c r="F5" s="5" t="str">
        <f t="shared" si="0"/>
        <v/>
      </c>
      <c r="G5" s="6" t="s">
        <v>820</v>
      </c>
    </row>
    <row r="6" spans="1:7" ht="40" customHeight="1">
      <c r="A6" s="4" t="s">
        <v>823</v>
      </c>
      <c r="B6" s="5" t="s">
        <v>818</v>
      </c>
      <c r="C6" s="5" t="s">
        <v>824</v>
      </c>
      <c r="D6" s="5" t="s">
        <v>825</v>
      </c>
      <c r="E6" s="10"/>
      <c r="F6" s="5" t="str">
        <f t="shared" si="0"/>
        <v/>
      </c>
      <c r="G6" s="6" t="s">
        <v>820</v>
      </c>
    </row>
    <row r="7" spans="1:7" ht="40" customHeight="1">
      <c r="A7" s="4" t="s">
        <v>826</v>
      </c>
      <c r="B7" s="5" t="s">
        <v>818</v>
      </c>
      <c r="C7" s="5" t="s">
        <v>827</v>
      </c>
      <c r="D7" s="5" t="s">
        <v>827</v>
      </c>
      <c r="E7" s="10"/>
      <c r="F7" s="5" t="str">
        <f t="shared" si="0"/>
        <v/>
      </c>
      <c r="G7" s="6" t="s">
        <v>820</v>
      </c>
    </row>
    <row r="8" spans="1:7" ht="40" customHeight="1">
      <c r="A8" s="4" t="s">
        <v>828</v>
      </c>
      <c r="B8" s="5" t="s">
        <v>818</v>
      </c>
      <c r="C8" s="5" t="s">
        <v>829</v>
      </c>
      <c r="D8" s="5" t="s">
        <v>829</v>
      </c>
      <c r="E8" s="10"/>
      <c r="F8" s="5" t="str">
        <f t="shared" si="0"/>
        <v/>
      </c>
      <c r="G8" s="6" t="s">
        <v>820</v>
      </c>
    </row>
    <row r="9" spans="1:7" ht="40" customHeight="1">
      <c r="A9" s="4" t="s">
        <v>830</v>
      </c>
      <c r="B9" s="5" t="s">
        <v>831</v>
      </c>
      <c r="C9" s="5" t="s">
        <v>832</v>
      </c>
      <c r="D9" s="5" t="s">
        <v>832</v>
      </c>
      <c r="E9" s="10"/>
      <c r="F9" s="5" t="str">
        <f t="shared" si="0"/>
        <v/>
      </c>
      <c r="G9" s="6" t="s">
        <v>820</v>
      </c>
    </row>
    <row r="10" spans="1:7" ht="40" customHeight="1">
      <c r="A10" s="4" t="s">
        <v>833</v>
      </c>
      <c r="B10" s="5" t="s">
        <v>831</v>
      </c>
      <c r="C10" s="5" t="s">
        <v>834</v>
      </c>
      <c r="D10" s="5" t="s">
        <v>834</v>
      </c>
      <c r="E10" s="10"/>
      <c r="F10" s="5" t="str">
        <f t="shared" si="0"/>
        <v/>
      </c>
      <c r="G10" s="6" t="s">
        <v>820</v>
      </c>
    </row>
    <row r="11" spans="1:7" ht="40" customHeight="1">
      <c r="A11" s="4" t="s">
        <v>835</v>
      </c>
      <c r="B11" s="5" t="s">
        <v>831</v>
      </c>
      <c r="C11" s="5" t="s">
        <v>836</v>
      </c>
      <c r="D11" s="5" t="s">
        <v>836</v>
      </c>
      <c r="E11" s="10"/>
      <c r="F11" s="5" t="str">
        <f t="shared" si="0"/>
        <v/>
      </c>
      <c r="G11" s="6" t="s">
        <v>820</v>
      </c>
    </row>
    <row r="12" spans="1:7" ht="40" customHeight="1">
      <c r="A12" s="4" t="s">
        <v>837</v>
      </c>
      <c r="B12" s="5" t="s">
        <v>831</v>
      </c>
      <c r="C12" s="5" t="s">
        <v>838</v>
      </c>
      <c r="D12" s="5" t="s">
        <v>838</v>
      </c>
      <c r="E12" s="10"/>
      <c r="F12" s="5" t="str">
        <f t="shared" si="0"/>
        <v/>
      </c>
      <c r="G12" s="6" t="s">
        <v>820</v>
      </c>
    </row>
    <row r="13" spans="1:7" ht="40" customHeight="1">
      <c r="A13" s="4" t="s">
        <v>839</v>
      </c>
      <c r="B13" s="5" t="s">
        <v>831</v>
      </c>
      <c r="C13" s="5" t="s">
        <v>840</v>
      </c>
      <c r="D13" s="5" t="s">
        <v>840</v>
      </c>
      <c r="E13" s="10"/>
      <c r="F13" s="5" t="str">
        <f t="shared" si="0"/>
        <v/>
      </c>
      <c r="G13" s="6" t="s">
        <v>820</v>
      </c>
    </row>
    <row r="14" spans="1:7" ht="40" customHeight="1">
      <c r="A14" s="4" t="s">
        <v>841</v>
      </c>
      <c r="B14" s="5" t="s">
        <v>842</v>
      </c>
      <c r="C14" s="5" t="s">
        <v>843</v>
      </c>
      <c r="D14" s="5" t="s">
        <v>843</v>
      </c>
      <c r="E14" s="10"/>
      <c r="F14" s="5" t="str">
        <f t="shared" si="0"/>
        <v/>
      </c>
      <c r="G14" s="6" t="s">
        <v>820</v>
      </c>
    </row>
    <row r="15" spans="1:7" ht="40" customHeight="1">
      <c r="A15" s="4" t="s">
        <v>844</v>
      </c>
      <c r="B15" s="5" t="s">
        <v>842</v>
      </c>
      <c r="C15" s="5" t="s">
        <v>845</v>
      </c>
      <c r="D15" s="5" t="s">
        <v>845</v>
      </c>
      <c r="E15" s="10"/>
      <c r="F15" s="5" t="str">
        <f t="shared" si="0"/>
        <v/>
      </c>
      <c r="G15" s="6" t="s">
        <v>820</v>
      </c>
    </row>
    <row r="16" spans="1:7" ht="40" customHeight="1">
      <c r="A16" s="4" t="s">
        <v>846</v>
      </c>
      <c r="B16" s="5" t="s">
        <v>842</v>
      </c>
      <c r="C16" s="5" t="s">
        <v>847</v>
      </c>
      <c r="D16" s="5" t="s">
        <v>847</v>
      </c>
      <c r="E16" s="10"/>
      <c r="F16" s="5" t="str">
        <f t="shared" si="0"/>
        <v/>
      </c>
      <c r="G16" s="6" t="s">
        <v>820</v>
      </c>
    </row>
    <row r="17" spans="1:7" ht="40" customHeight="1">
      <c r="A17" s="4" t="s">
        <v>848</v>
      </c>
      <c r="B17" s="5" t="s">
        <v>842</v>
      </c>
      <c r="C17" s="5" t="s">
        <v>849</v>
      </c>
      <c r="D17" s="5" t="s">
        <v>849</v>
      </c>
      <c r="E17" s="10"/>
      <c r="F17" s="5" t="str">
        <f t="shared" si="0"/>
        <v/>
      </c>
      <c r="G17" s="6" t="s">
        <v>820</v>
      </c>
    </row>
    <row r="18" spans="1:7" ht="40" customHeight="1">
      <c r="A18" s="4" t="s">
        <v>850</v>
      </c>
      <c r="B18" s="5" t="s">
        <v>842</v>
      </c>
      <c r="C18" s="5" t="s">
        <v>851</v>
      </c>
      <c r="D18" s="5" t="s">
        <v>851</v>
      </c>
      <c r="E18" s="10"/>
      <c r="F18" s="5" t="str">
        <f t="shared" si="0"/>
        <v/>
      </c>
      <c r="G18" s="6" t="s">
        <v>820</v>
      </c>
    </row>
    <row r="19" spans="1:7" ht="40" customHeight="1">
      <c r="A19" s="4" t="s">
        <v>852</v>
      </c>
      <c r="B19" s="5" t="s">
        <v>853</v>
      </c>
      <c r="C19" s="5" t="s">
        <v>854</v>
      </c>
      <c r="D19" s="5" t="s">
        <v>854</v>
      </c>
      <c r="E19" s="10"/>
      <c r="F19" s="5" t="str">
        <f t="shared" si="0"/>
        <v/>
      </c>
      <c r="G19" s="6" t="s">
        <v>820</v>
      </c>
    </row>
    <row r="20" spans="1:7" ht="40" customHeight="1">
      <c r="A20" s="4" t="s">
        <v>855</v>
      </c>
      <c r="B20" s="5" t="s">
        <v>853</v>
      </c>
      <c r="C20" s="5" t="s">
        <v>856</v>
      </c>
      <c r="D20" s="5" t="s">
        <v>856</v>
      </c>
      <c r="E20" s="10"/>
      <c r="F20" s="5" t="str">
        <f t="shared" si="0"/>
        <v/>
      </c>
      <c r="G20" s="6" t="s">
        <v>820</v>
      </c>
    </row>
    <row r="21" spans="1:7" ht="40" customHeight="1">
      <c r="A21" s="4" t="s">
        <v>857</v>
      </c>
      <c r="B21" s="5" t="s">
        <v>853</v>
      </c>
      <c r="C21" s="5" t="s">
        <v>858</v>
      </c>
      <c r="D21" s="5" t="s">
        <v>858</v>
      </c>
      <c r="E21" s="10"/>
      <c r="F21" s="5" t="str">
        <f t="shared" si="0"/>
        <v/>
      </c>
      <c r="G21" s="6" t="s">
        <v>820</v>
      </c>
    </row>
    <row r="22" spans="1:7" ht="40" customHeight="1">
      <c r="A22" s="4" t="s">
        <v>859</v>
      </c>
      <c r="B22" s="5" t="s">
        <v>853</v>
      </c>
      <c r="C22" s="5" t="s">
        <v>860</v>
      </c>
      <c r="D22" s="5" t="s">
        <v>860</v>
      </c>
      <c r="E22" s="10"/>
      <c r="F22" s="5" t="str">
        <f t="shared" si="0"/>
        <v/>
      </c>
      <c r="G22" s="6" t="s">
        <v>820</v>
      </c>
    </row>
    <row r="23" spans="1:7" ht="40" customHeight="1">
      <c r="A23" s="4" t="s">
        <v>861</v>
      </c>
      <c r="B23" s="5" t="s">
        <v>853</v>
      </c>
      <c r="C23" s="5" t="s">
        <v>862</v>
      </c>
      <c r="D23" s="5" t="s">
        <v>863</v>
      </c>
      <c r="E23" s="10"/>
      <c r="F23" s="5" t="str">
        <f t="shared" si="0"/>
        <v/>
      </c>
      <c r="G23" s="6" t="s">
        <v>820</v>
      </c>
    </row>
    <row r="24" spans="1:7" ht="40" customHeight="1">
      <c r="A24" s="4" t="s">
        <v>864</v>
      </c>
      <c r="B24" s="5" t="s">
        <v>865</v>
      </c>
      <c r="C24" s="5" t="s">
        <v>866</v>
      </c>
      <c r="D24" s="5" t="s">
        <v>867</v>
      </c>
      <c r="E24" s="10"/>
      <c r="F24" s="5" t="str">
        <f t="shared" si="0"/>
        <v/>
      </c>
      <c r="G24" s="6" t="s">
        <v>820</v>
      </c>
    </row>
    <row r="25" spans="1:7" ht="40" customHeight="1">
      <c r="A25" s="4" t="s">
        <v>868</v>
      </c>
      <c r="B25" s="5" t="s">
        <v>865</v>
      </c>
      <c r="C25" s="5" t="s">
        <v>869</v>
      </c>
      <c r="D25" s="5" t="s">
        <v>869</v>
      </c>
      <c r="E25" s="10"/>
      <c r="F25" s="5" t="str">
        <f t="shared" si="0"/>
        <v/>
      </c>
      <c r="G25" s="6" t="s">
        <v>820</v>
      </c>
    </row>
    <row r="26" spans="1:7" ht="40" customHeight="1">
      <c r="A26" s="4" t="s">
        <v>870</v>
      </c>
      <c r="B26" s="5" t="s">
        <v>865</v>
      </c>
      <c r="C26" s="5" t="s">
        <v>871</v>
      </c>
      <c r="D26" s="5" t="s">
        <v>871</v>
      </c>
      <c r="E26" s="10"/>
      <c r="F26" s="5" t="str">
        <f t="shared" si="0"/>
        <v/>
      </c>
      <c r="G26" s="6" t="s">
        <v>820</v>
      </c>
    </row>
    <row r="27" spans="1:7" ht="40" customHeight="1">
      <c r="A27" s="4" t="s">
        <v>872</v>
      </c>
      <c r="B27" s="5" t="s">
        <v>865</v>
      </c>
      <c r="C27" s="5" t="s">
        <v>873</v>
      </c>
      <c r="D27" s="5" t="s">
        <v>873</v>
      </c>
      <c r="E27" s="10"/>
      <c r="F27" s="5" t="str">
        <f t="shared" si="0"/>
        <v/>
      </c>
      <c r="G27" s="6" t="s">
        <v>820</v>
      </c>
    </row>
    <row r="28" spans="1:7" ht="40" customHeight="1">
      <c r="A28" s="4" t="s">
        <v>874</v>
      </c>
      <c r="B28" s="5" t="s">
        <v>865</v>
      </c>
      <c r="C28" s="5" t="s">
        <v>875</v>
      </c>
      <c r="D28" s="5" t="s">
        <v>875</v>
      </c>
      <c r="E28" s="10"/>
      <c r="F28" s="5" t="str">
        <f t="shared" si="0"/>
        <v/>
      </c>
      <c r="G28" s="6" t="s">
        <v>820</v>
      </c>
    </row>
    <row r="29" spans="1:7" ht="40" customHeight="1">
      <c r="A29" s="4" t="s">
        <v>876</v>
      </c>
      <c r="B29" s="5" t="s">
        <v>877</v>
      </c>
      <c r="C29" s="5" t="s">
        <v>878</v>
      </c>
      <c r="D29" s="5" t="s">
        <v>878</v>
      </c>
      <c r="E29" s="10"/>
      <c r="F29" s="5" t="str">
        <f t="shared" si="0"/>
        <v/>
      </c>
      <c r="G29" s="6" t="s">
        <v>820</v>
      </c>
    </row>
    <row r="30" spans="1:7" ht="40" customHeight="1">
      <c r="A30" s="4" t="s">
        <v>879</v>
      </c>
      <c r="B30" s="5" t="s">
        <v>877</v>
      </c>
      <c r="C30" s="5" t="s">
        <v>880</v>
      </c>
      <c r="D30" s="5" t="s">
        <v>880</v>
      </c>
      <c r="E30" s="10"/>
      <c r="F30" s="5" t="str">
        <f t="shared" si="0"/>
        <v/>
      </c>
      <c r="G30" s="6" t="s">
        <v>820</v>
      </c>
    </row>
    <row r="31" spans="1:7" ht="40" customHeight="1">
      <c r="A31" s="4" t="s">
        <v>881</v>
      </c>
      <c r="B31" s="5" t="s">
        <v>877</v>
      </c>
      <c r="C31" s="5" t="s">
        <v>882</v>
      </c>
      <c r="D31" s="5" t="s">
        <v>882</v>
      </c>
      <c r="E31" s="10"/>
      <c r="F31" s="5" t="str">
        <f t="shared" si="0"/>
        <v/>
      </c>
      <c r="G31" s="6" t="s">
        <v>820</v>
      </c>
    </row>
    <row r="32" spans="1:7" ht="40" customHeight="1">
      <c r="A32" s="4" t="s">
        <v>883</v>
      </c>
      <c r="B32" s="5" t="s">
        <v>877</v>
      </c>
      <c r="C32" s="5" t="s">
        <v>884</v>
      </c>
      <c r="D32" s="5" t="s">
        <v>885</v>
      </c>
      <c r="E32" s="10"/>
      <c r="F32" s="5" t="str">
        <f t="shared" si="0"/>
        <v/>
      </c>
      <c r="G32" s="6" t="s">
        <v>820</v>
      </c>
    </row>
    <row r="33" spans="1:7" ht="40" customHeight="1">
      <c r="A33" s="4" t="s">
        <v>886</v>
      </c>
      <c r="B33" s="5" t="s">
        <v>877</v>
      </c>
      <c r="C33" s="5" t="s">
        <v>887</v>
      </c>
      <c r="D33" s="5" t="s">
        <v>887</v>
      </c>
      <c r="E33" s="10"/>
      <c r="F33" s="5" t="str">
        <f t="shared" si="0"/>
        <v/>
      </c>
      <c r="G33" s="6" t="s">
        <v>820</v>
      </c>
    </row>
    <row r="34" spans="1:7" ht="40" customHeight="1">
      <c r="A34" s="4" t="s">
        <v>888</v>
      </c>
      <c r="B34" s="5" t="s">
        <v>889</v>
      </c>
      <c r="C34" s="5" t="s">
        <v>890</v>
      </c>
      <c r="D34" s="5" t="s">
        <v>890</v>
      </c>
      <c r="E34" s="10"/>
      <c r="F34" s="5" t="str">
        <f t="shared" si="0"/>
        <v/>
      </c>
      <c r="G34" s="6" t="s">
        <v>820</v>
      </c>
    </row>
    <row r="35" spans="1:7" ht="40" customHeight="1">
      <c r="A35" s="4" t="s">
        <v>891</v>
      </c>
      <c r="B35" s="5" t="s">
        <v>889</v>
      </c>
      <c r="C35" s="5" t="s">
        <v>892</v>
      </c>
      <c r="D35" s="5" t="s">
        <v>892</v>
      </c>
      <c r="E35" s="10"/>
      <c r="F35" s="5" t="str">
        <f t="shared" si="0"/>
        <v/>
      </c>
      <c r="G35" s="6" t="s">
        <v>820</v>
      </c>
    </row>
    <row r="36" spans="1:7" ht="40" customHeight="1">
      <c r="A36" s="4" t="s">
        <v>893</v>
      </c>
      <c r="B36" s="5" t="s">
        <v>889</v>
      </c>
      <c r="C36" s="5" t="s">
        <v>894</v>
      </c>
      <c r="D36" s="5" t="s">
        <v>894</v>
      </c>
      <c r="E36" s="10"/>
      <c r="F36" s="5" t="str">
        <f t="shared" si="0"/>
        <v/>
      </c>
      <c r="G36" s="6" t="s">
        <v>820</v>
      </c>
    </row>
    <row r="37" spans="1:7" ht="40" customHeight="1">
      <c r="A37" s="4" t="s">
        <v>895</v>
      </c>
      <c r="B37" s="5" t="s">
        <v>889</v>
      </c>
      <c r="C37" s="5" t="s">
        <v>896</v>
      </c>
      <c r="D37" s="5" t="s">
        <v>896</v>
      </c>
      <c r="E37" s="10"/>
      <c r="F37" s="5" t="str">
        <f t="shared" si="0"/>
        <v/>
      </c>
      <c r="G37" s="6" t="s">
        <v>820</v>
      </c>
    </row>
    <row r="38" spans="1:7" ht="40" customHeight="1">
      <c r="A38" s="4" t="s">
        <v>897</v>
      </c>
      <c r="B38" s="5" t="s">
        <v>889</v>
      </c>
      <c r="C38" s="5" t="s">
        <v>898</v>
      </c>
      <c r="D38" s="5" t="s">
        <v>898</v>
      </c>
      <c r="E38" s="10"/>
      <c r="F38" s="5" t="str">
        <f t="shared" si="0"/>
        <v/>
      </c>
      <c r="G38" s="6" t="s">
        <v>820</v>
      </c>
    </row>
    <row r="39" spans="1:7" ht="40" customHeight="1">
      <c r="A39" s="4" t="s">
        <v>899</v>
      </c>
      <c r="B39" s="5" t="s">
        <v>900</v>
      </c>
      <c r="C39" s="5" t="s">
        <v>901</v>
      </c>
      <c r="D39" s="5" t="s">
        <v>901</v>
      </c>
      <c r="E39" s="10"/>
      <c r="F39" s="5" t="str">
        <f t="shared" si="0"/>
        <v/>
      </c>
      <c r="G39" s="6" t="s">
        <v>820</v>
      </c>
    </row>
    <row r="40" spans="1:7" ht="40" customHeight="1">
      <c r="A40" s="4" t="s">
        <v>902</v>
      </c>
      <c r="B40" s="5" t="s">
        <v>900</v>
      </c>
      <c r="C40" s="5" t="s">
        <v>903</v>
      </c>
      <c r="D40" s="5" t="s">
        <v>903</v>
      </c>
      <c r="E40" s="10"/>
      <c r="F40" s="5" t="str">
        <f t="shared" si="0"/>
        <v/>
      </c>
      <c r="G40" s="6" t="s">
        <v>820</v>
      </c>
    </row>
    <row r="41" spans="1:7" ht="40" customHeight="1">
      <c r="A41" s="4" t="s">
        <v>904</v>
      </c>
      <c r="B41" s="5" t="s">
        <v>900</v>
      </c>
      <c r="C41" s="5" t="s">
        <v>905</v>
      </c>
      <c r="D41" s="5" t="s">
        <v>905</v>
      </c>
      <c r="E41" s="10"/>
      <c r="F41" s="5" t="str">
        <f t="shared" si="0"/>
        <v/>
      </c>
      <c r="G41" s="6" t="s">
        <v>820</v>
      </c>
    </row>
    <row r="42" spans="1:7" ht="40" customHeight="1">
      <c r="A42" s="4" t="s">
        <v>906</v>
      </c>
      <c r="B42" s="5" t="s">
        <v>900</v>
      </c>
      <c r="C42" s="5" t="s">
        <v>907</v>
      </c>
      <c r="D42" s="5" t="s">
        <v>907</v>
      </c>
      <c r="E42" s="10"/>
      <c r="F42" s="5" t="str">
        <f t="shared" si="0"/>
        <v/>
      </c>
      <c r="G42" s="6" t="s">
        <v>820</v>
      </c>
    </row>
    <row r="43" spans="1:7" ht="40" customHeight="1">
      <c r="A43" s="7" t="s">
        <v>908</v>
      </c>
      <c r="B43" s="8" t="s">
        <v>900</v>
      </c>
      <c r="C43" s="8" t="s">
        <v>909</v>
      </c>
      <c r="D43" s="8" t="s">
        <v>909</v>
      </c>
      <c r="E43" s="11"/>
      <c r="F43" s="8" t="str">
        <f t="shared" si="0"/>
        <v/>
      </c>
      <c r="G43" s="9" t="s">
        <v>820</v>
      </c>
    </row>
  </sheetData>
  <mergeCells count="2">
    <mergeCell ref="A1:G1"/>
    <mergeCell ref="A2:G2"/>
  </mergeCells>
  <phoneticPr fontId="8"/>
  <conditionalFormatting sqref="F4:F43">
    <cfRule type="expression" dxfId="3" priority="1">
      <formula>F4="維持"</formula>
    </cfRule>
    <cfRule type="expression" dxfId="2" priority="2">
      <formula>F4="差替候補"</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2"/>
  <sheetViews>
    <sheetView topLeftCell="C1" workbookViewId="0">
      <selection sqref="A1:I1"/>
    </sheetView>
  </sheetViews>
  <sheetFormatPr baseColWidth="10" defaultColWidth="8.83203125" defaultRowHeight="14"/>
  <cols>
    <col min="1" max="1" width="30" customWidth="1"/>
    <col min="2" max="2" width="9" customWidth="1"/>
    <col min="3" max="3" width="22" customWidth="1"/>
    <col min="4" max="4" width="15" customWidth="1"/>
    <col min="5" max="5" width="36" customWidth="1"/>
    <col min="6" max="6" width="31" customWidth="1"/>
    <col min="7" max="7" width="27" customWidth="1"/>
    <col min="8" max="8" width="50" customWidth="1"/>
    <col min="9" max="9" width="37" customWidth="1"/>
  </cols>
  <sheetData>
    <row r="1" spans="1:9" ht="40" customHeight="1">
      <c r="A1" s="14" t="s">
        <v>910</v>
      </c>
      <c r="B1" s="14"/>
      <c r="C1" s="14"/>
      <c r="D1" s="14"/>
      <c r="E1" s="14"/>
      <c r="F1" s="14"/>
      <c r="G1" s="14"/>
      <c r="H1" s="14"/>
      <c r="I1" s="14"/>
    </row>
    <row r="2" spans="1:9" ht="50.75" customHeight="1">
      <c r="A2" s="15" t="s">
        <v>911</v>
      </c>
      <c r="B2" s="15"/>
      <c r="C2" s="15"/>
      <c r="D2" s="15"/>
      <c r="E2" s="15"/>
      <c r="F2" s="15"/>
      <c r="G2" s="15"/>
      <c r="H2" s="15"/>
      <c r="I2" s="15"/>
    </row>
    <row r="3" spans="1:9" ht="45.25" customHeight="1">
      <c r="A3" s="1" t="s">
        <v>130</v>
      </c>
      <c r="B3" s="2" t="s">
        <v>912</v>
      </c>
      <c r="C3" s="2" t="s">
        <v>913</v>
      </c>
      <c r="D3" s="2" t="s">
        <v>914</v>
      </c>
      <c r="E3" s="2" t="s">
        <v>915</v>
      </c>
      <c r="F3" s="2" t="s">
        <v>916</v>
      </c>
      <c r="G3" s="2" t="s">
        <v>917</v>
      </c>
      <c r="H3" s="2" t="s">
        <v>918</v>
      </c>
      <c r="I3" s="3" t="s">
        <v>919</v>
      </c>
    </row>
    <row r="4" spans="1:9" ht="69.25" customHeight="1">
      <c r="A4" s="4" t="s">
        <v>920</v>
      </c>
      <c r="B4" s="5" t="s">
        <v>921</v>
      </c>
      <c r="C4" s="5" t="s">
        <v>57</v>
      </c>
      <c r="D4" s="5" t="s">
        <v>922</v>
      </c>
      <c r="E4" s="5" t="s">
        <v>923</v>
      </c>
      <c r="F4" s="5" t="s">
        <v>924</v>
      </c>
      <c r="G4" s="5" t="s">
        <v>925</v>
      </c>
      <c r="H4" s="5" t="s">
        <v>926</v>
      </c>
      <c r="I4" s="6" t="s">
        <v>927</v>
      </c>
    </row>
    <row r="5" spans="1:9" ht="69.25" customHeight="1">
      <c r="A5" s="4" t="s">
        <v>810</v>
      </c>
      <c r="B5" s="5" t="s">
        <v>928</v>
      </c>
      <c r="C5" s="5" t="s">
        <v>67</v>
      </c>
      <c r="D5" s="5" t="s">
        <v>922</v>
      </c>
      <c r="E5" s="5" t="s">
        <v>929</v>
      </c>
      <c r="F5" s="5" t="s">
        <v>176</v>
      </c>
      <c r="G5" s="5" t="s">
        <v>930</v>
      </c>
      <c r="H5" s="5" t="s">
        <v>931</v>
      </c>
      <c r="I5" s="6" t="s">
        <v>932</v>
      </c>
    </row>
    <row r="6" spans="1:9" ht="69.25" customHeight="1">
      <c r="A6" s="4" t="s">
        <v>933</v>
      </c>
      <c r="B6" s="5" t="s">
        <v>928</v>
      </c>
      <c r="C6" s="5" t="s">
        <v>57</v>
      </c>
      <c r="D6" s="5" t="s">
        <v>934</v>
      </c>
      <c r="E6" s="5" t="s">
        <v>935</v>
      </c>
      <c r="F6" s="5" t="s">
        <v>176</v>
      </c>
      <c r="G6" s="5" t="s">
        <v>925</v>
      </c>
      <c r="H6" s="5" t="s">
        <v>936</v>
      </c>
      <c r="I6" s="6" t="s">
        <v>160</v>
      </c>
    </row>
    <row r="7" spans="1:9" ht="69.25" customHeight="1">
      <c r="A7" s="4" t="s">
        <v>937</v>
      </c>
      <c r="B7" s="5" t="s">
        <v>928</v>
      </c>
      <c r="C7" s="5" t="s">
        <v>57</v>
      </c>
      <c r="D7" s="5" t="s">
        <v>934</v>
      </c>
      <c r="E7" s="5" t="s">
        <v>938</v>
      </c>
      <c r="F7" s="5" t="s">
        <v>183</v>
      </c>
      <c r="G7" s="5" t="s">
        <v>925</v>
      </c>
      <c r="H7" s="5" t="s">
        <v>939</v>
      </c>
      <c r="I7" s="6" t="s">
        <v>940</v>
      </c>
    </row>
    <row r="8" spans="1:9" ht="69.25" customHeight="1">
      <c r="A8" s="4" t="s">
        <v>294</v>
      </c>
      <c r="B8" s="5" t="s">
        <v>928</v>
      </c>
      <c r="C8" s="5" t="s">
        <v>57</v>
      </c>
      <c r="D8" s="5" t="s">
        <v>934</v>
      </c>
      <c r="E8" s="5" t="s">
        <v>941</v>
      </c>
      <c r="F8" s="5" t="s">
        <v>290</v>
      </c>
      <c r="G8" s="5" t="s">
        <v>925</v>
      </c>
      <c r="H8" s="5" t="s">
        <v>942</v>
      </c>
      <c r="I8" s="6" t="s">
        <v>943</v>
      </c>
    </row>
    <row r="9" spans="1:9" ht="69.25" customHeight="1">
      <c r="A9" s="4" t="s">
        <v>211</v>
      </c>
      <c r="B9" s="5" t="s">
        <v>928</v>
      </c>
      <c r="C9" s="5" t="s">
        <v>67</v>
      </c>
      <c r="D9" s="5" t="s">
        <v>934</v>
      </c>
      <c r="E9" s="5" t="s">
        <v>944</v>
      </c>
      <c r="F9" s="5" t="s">
        <v>206</v>
      </c>
      <c r="G9" s="5" t="s">
        <v>945</v>
      </c>
      <c r="H9" s="5" t="s">
        <v>946</v>
      </c>
      <c r="I9" s="6" t="s">
        <v>947</v>
      </c>
    </row>
    <row r="10" spans="1:9" ht="69.25" customHeight="1">
      <c r="A10" s="4" t="s">
        <v>219</v>
      </c>
      <c r="B10" s="5" t="s">
        <v>928</v>
      </c>
      <c r="C10" s="5" t="s">
        <v>67</v>
      </c>
      <c r="D10" s="5" t="s">
        <v>934</v>
      </c>
      <c r="E10" s="5" t="s">
        <v>944</v>
      </c>
      <c r="F10" s="5" t="s">
        <v>215</v>
      </c>
      <c r="G10" s="5" t="s">
        <v>948</v>
      </c>
      <c r="H10" s="5" t="s">
        <v>949</v>
      </c>
      <c r="I10" s="6" t="s">
        <v>950</v>
      </c>
    </row>
    <row r="11" spans="1:9" ht="69.25" customHeight="1">
      <c r="A11" s="4" t="s">
        <v>226</v>
      </c>
      <c r="B11" s="5" t="s">
        <v>928</v>
      </c>
      <c r="C11" s="5" t="s">
        <v>67</v>
      </c>
      <c r="D11" s="5" t="s">
        <v>934</v>
      </c>
      <c r="E11" s="5" t="s">
        <v>951</v>
      </c>
      <c r="F11" s="5" t="s">
        <v>223</v>
      </c>
      <c r="G11" s="5" t="s">
        <v>948</v>
      </c>
      <c r="H11" s="5" t="s">
        <v>952</v>
      </c>
      <c r="I11" s="6" t="s">
        <v>698</v>
      </c>
    </row>
    <row r="12" spans="1:9" ht="69.25" customHeight="1">
      <c r="A12" s="4" t="s">
        <v>953</v>
      </c>
      <c r="B12" s="5" t="s">
        <v>928</v>
      </c>
      <c r="C12" s="5" t="s">
        <v>67</v>
      </c>
      <c r="D12" s="5" t="s">
        <v>954</v>
      </c>
      <c r="E12" s="5" t="s">
        <v>955</v>
      </c>
      <c r="F12" s="5" t="s">
        <v>956</v>
      </c>
      <c r="G12" s="5" t="s">
        <v>957</v>
      </c>
      <c r="H12" s="5" t="s">
        <v>958</v>
      </c>
      <c r="I12" s="6" t="s">
        <v>280</v>
      </c>
    </row>
    <row r="13" spans="1:9" ht="69.25" customHeight="1">
      <c r="A13" s="4" t="s">
        <v>959</v>
      </c>
      <c r="B13" s="5" t="s">
        <v>928</v>
      </c>
      <c r="C13" s="5" t="s">
        <v>67</v>
      </c>
      <c r="D13" s="5" t="s">
        <v>954</v>
      </c>
      <c r="E13" s="5" t="s">
        <v>960</v>
      </c>
      <c r="F13" s="5" t="s">
        <v>956</v>
      </c>
      <c r="G13" s="5" t="s">
        <v>961</v>
      </c>
      <c r="H13" s="5" t="s">
        <v>962</v>
      </c>
      <c r="I13" s="6" t="s">
        <v>963</v>
      </c>
    </row>
    <row r="14" spans="1:9" ht="69.25" customHeight="1">
      <c r="A14" s="4" t="s">
        <v>233</v>
      </c>
      <c r="B14" s="5" t="s">
        <v>928</v>
      </c>
      <c r="C14" s="5" t="s">
        <v>67</v>
      </c>
      <c r="D14" s="5" t="s">
        <v>934</v>
      </c>
      <c r="E14" s="5" t="s">
        <v>964</v>
      </c>
      <c r="F14" s="5" t="s">
        <v>230</v>
      </c>
      <c r="G14" s="5" t="s">
        <v>948</v>
      </c>
      <c r="H14" s="5" t="s">
        <v>965</v>
      </c>
      <c r="I14" s="6" t="s">
        <v>966</v>
      </c>
    </row>
    <row r="15" spans="1:9" ht="69.25" customHeight="1">
      <c r="A15" s="4" t="s">
        <v>239</v>
      </c>
      <c r="B15" s="5" t="s">
        <v>928</v>
      </c>
      <c r="C15" s="5" t="s">
        <v>67</v>
      </c>
      <c r="D15" s="5" t="s">
        <v>934</v>
      </c>
      <c r="E15" s="5" t="s">
        <v>964</v>
      </c>
      <c r="F15" s="5" t="s">
        <v>236</v>
      </c>
      <c r="G15" s="5" t="s">
        <v>948</v>
      </c>
      <c r="H15" s="5" t="s">
        <v>967</v>
      </c>
      <c r="I15" s="6" t="s">
        <v>966</v>
      </c>
    </row>
    <row r="16" spans="1:9" ht="69.25" customHeight="1">
      <c r="A16" s="4" t="s">
        <v>244</v>
      </c>
      <c r="B16" s="5" t="s">
        <v>928</v>
      </c>
      <c r="C16" s="5" t="s">
        <v>67</v>
      </c>
      <c r="D16" s="5" t="s">
        <v>934</v>
      </c>
      <c r="E16" s="5" t="s">
        <v>968</v>
      </c>
      <c r="F16" s="5" t="s">
        <v>241</v>
      </c>
      <c r="G16" s="5" t="s">
        <v>948</v>
      </c>
      <c r="H16" s="5" t="s">
        <v>969</v>
      </c>
      <c r="I16" s="6" t="s">
        <v>970</v>
      </c>
    </row>
    <row r="17" spans="1:9" ht="69.25" customHeight="1">
      <c r="A17" s="4" t="s">
        <v>251</v>
      </c>
      <c r="B17" s="5" t="s">
        <v>928</v>
      </c>
      <c r="C17" s="5" t="s">
        <v>67</v>
      </c>
      <c r="D17" s="5" t="s">
        <v>811</v>
      </c>
      <c r="E17" s="5" t="s">
        <v>971</v>
      </c>
      <c r="F17" s="5" t="s">
        <v>248</v>
      </c>
      <c r="G17" s="5" t="s">
        <v>972</v>
      </c>
      <c r="H17" s="5" t="s">
        <v>973</v>
      </c>
      <c r="I17" s="6" t="s">
        <v>966</v>
      </c>
    </row>
    <row r="18" spans="1:9" ht="69.25" customHeight="1">
      <c r="A18" s="4" t="s">
        <v>256</v>
      </c>
      <c r="B18" s="5" t="s">
        <v>928</v>
      </c>
      <c r="C18" s="5" t="s">
        <v>67</v>
      </c>
      <c r="D18" s="5" t="s">
        <v>934</v>
      </c>
      <c r="E18" s="5" t="s">
        <v>944</v>
      </c>
      <c r="F18" s="5" t="s">
        <v>253</v>
      </c>
      <c r="G18" s="5" t="s">
        <v>972</v>
      </c>
      <c r="H18" s="5" t="s">
        <v>974</v>
      </c>
      <c r="I18" s="6" t="s">
        <v>975</v>
      </c>
    </row>
    <row r="19" spans="1:9" ht="69.25" customHeight="1">
      <c r="A19" s="4" t="s">
        <v>261</v>
      </c>
      <c r="B19" s="5" t="s">
        <v>928</v>
      </c>
      <c r="C19" s="5" t="s">
        <v>67</v>
      </c>
      <c r="D19" s="5" t="s">
        <v>811</v>
      </c>
      <c r="E19" s="5" t="s">
        <v>976</v>
      </c>
      <c r="F19" s="5" t="s">
        <v>258</v>
      </c>
      <c r="G19" s="5" t="s">
        <v>972</v>
      </c>
      <c r="H19" s="5" t="s">
        <v>977</v>
      </c>
      <c r="I19" s="6" t="s">
        <v>978</v>
      </c>
    </row>
    <row r="20" spans="1:9" ht="69.25" customHeight="1">
      <c r="A20" s="4" t="s">
        <v>266</v>
      </c>
      <c r="B20" s="5" t="s">
        <v>928</v>
      </c>
      <c r="C20" s="5" t="s">
        <v>67</v>
      </c>
      <c r="D20" s="5" t="s">
        <v>934</v>
      </c>
      <c r="E20" s="5" t="s">
        <v>944</v>
      </c>
      <c r="F20" s="5" t="s">
        <v>263</v>
      </c>
      <c r="G20" s="5" t="s">
        <v>972</v>
      </c>
      <c r="H20" s="5" t="s">
        <v>979</v>
      </c>
      <c r="I20" s="6" t="s">
        <v>980</v>
      </c>
    </row>
    <row r="21" spans="1:9" ht="69.25" customHeight="1">
      <c r="A21" s="4" t="s">
        <v>313</v>
      </c>
      <c r="B21" s="5" t="s">
        <v>928</v>
      </c>
      <c r="C21" s="5" t="s">
        <v>67</v>
      </c>
      <c r="D21" s="5" t="s">
        <v>981</v>
      </c>
      <c r="E21" s="5" t="s">
        <v>982</v>
      </c>
      <c r="F21" s="5" t="s">
        <v>308</v>
      </c>
      <c r="G21" s="5" t="s">
        <v>925</v>
      </c>
      <c r="H21" s="5" t="s">
        <v>983</v>
      </c>
      <c r="I21" s="6" t="s">
        <v>984</v>
      </c>
    </row>
    <row r="22" spans="1:9" ht="69.25" customHeight="1">
      <c r="A22" s="4" t="s">
        <v>322</v>
      </c>
      <c r="B22" s="5" t="s">
        <v>928</v>
      </c>
      <c r="C22" s="5" t="s">
        <v>985</v>
      </c>
      <c r="D22" s="5" t="s">
        <v>934</v>
      </c>
      <c r="E22" s="5" t="s">
        <v>986</v>
      </c>
      <c r="F22" s="5" t="s">
        <v>317</v>
      </c>
      <c r="G22" s="5" t="s">
        <v>987</v>
      </c>
      <c r="H22" s="5" t="s">
        <v>988</v>
      </c>
      <c r="I22" s="6" t="s">
        <v>989</v>
      </c>
    </row>
    <row r="23" spans="1:9" ht="69.25" customHeight="1">
      <c r="A23" s="4" t="s">
        <v>990</v>
      </c>
      <c r="B23" s="5" t="s">
        <v>928</v>
      </c>
      <c r="C23" s="5" t="s">
        <v>67</v>
      </c>
      <c r="D23" s="5" t="s">
        <v>934</v>
      </c>
      <c r="E23" s="5" t="s">
        <v>991</v>
      </c>
      <c r="F23" s="5" t="s">
        <v>956</v>
      </c>
      <c r="G23" s="5" t="s">
        <v>992</v>
      </c>
      <c r="H23" s="5" t="s">
        <v>993</v>
      </c>
      <c r="I23" s="6" t="s">
        <v>994</v>
      </c>
    </row>
    <row r="24" spans="1:9" ht="69.25" customHeight="1">
      <c r="A24" s="4" t="s">
        <v>329</v>
      </c>
      <c r="B24" s="5" t="s">
        <v>928</v>
      </c>
      <c r="C24" s="5" t="s">
        <v>985</v>
      </c>
      <c r="D24" s="5" t="s">
        <v>934</v>
      </c>
      <c r="E24" s="5" t="s">
        <v>944</v>
      </c>
      <c r="F24" s="5" t="s">
        <v>325</v>
      </c>
      <c r="G24" s="5" t="s">
        <v>995</v>
      </c>
      <c r="H24" s="5" t="s">
        <v>996</v>
      </c>
      <c r="I24" s="6" t="s">
        <v>997</v>
      </c>
    </row>
    <row r="25" spans="1:9" ht="69.25" customHeight="1">
      <c r="A25" s="4" t="s">
        <v>998</v>
      </c>
      <c r="B25" s="5" t="s">
        <v>928</v>
      </c>
      <c r="C25" s="5" t="s">
        <v>985</v>
      </c>
      <c r="D25" s="5" t="s">
        <v>954</v>
      </c>
      <c r="E25" s="5" t="s">
        <v>955</v>
      </c>
      <c r="F25" s="5" t="s">
        <v>956</v>
      </c>
      <c r="G25" s="5" t="s">
        <v>999</v>
      </c>
      <c r="H25" s="5" t="s">
        <v>1000</v>
      </c>
      <c r="I25" s="6" t="s">
        <v>1001</v>
      </c>
    </row>
    <row r="26" spans="1:9" ht="69.25" customHeight="1">
      <c r="A26" s="4" t="s">
        <v>337</v>
      </c>
      <c r="B26" s="5" t="s">
        <v>928</v>
      </c>
      <c r="C26" s="5" t="s">
        <v>985</v>
      </c>
      <c r="D26" s="5" t="s">
        <v>922</v>
      </c>
      <c r="E26" s="5" t="s">
        <v>336</v>
      </c>
      <c r="F26" s="5" t="s">
        <v>332</v>
      </c>
      <c r="G26" s="5" t="s">
        <v>270</v>
      </c>
      <c r="H26" s="5" t="s">
        <v>1002</v>
      </c>
      <c r="I26" s="6" t="s">
        <v>1003</v>
      </c>
    </row>
    <row r="27" spans="1:9" ht="69.25" customHeight="1">
      <c r="A27" s="4" t="s">
        <v>342</v>
      </c>
      <c r="B27" s="5" t="s">
        <v>928</v>
      </c>
      <c r="C27" s="5" t="s">
        <v>985</v>
      </c>
      <c r="D27" s="5" t="s">
        <v>922</v>
      </c>
      <c r="E27" s="5" t="s">
        <v>1004</v>
      </c>
      <c r="F27" s="5" t="s">
        <v>339</v>
      </c>
      <c r="G27" s="5" t="s">
        <v>948</v>
      </c>
      <c r="H27" s="5" t="s">
        <v>1005</v>
      </c>
      <c r="I27" s="6" t="s">
        <v>1006</v>
      </c>
    </row>
    <row r="28" spans="1:9" ht="69.25" customHeight="1">
      <c r="A28" s="4" t="s">
        <v>1007</v>
      </c>
      <c r="B28" s="5" t="s">
        <v>928</v>
      </c>
      <c r="C28" s="5" t="s">
        <v>67</v>
      </c>
      <c r="D28" s="5" t="s">
        <v>954</v>
      </c>
      <c r="E28" s="5" t="s">
        <v>960</v>
      </c>
      <c r="F28" s="5" t="s">
        <v>956</v>
      </c>
      <c r="G28" s="5" t="s">
        <v>1008</v>
      </c>
      <c r="H28" s="5" t="s">
        <v>1009</v>
      </c>
      <c r="I28" s="6" t="s">
        <v>42</v>
      </c>
    </row>
    <row r="29" spans="1:9" ht="69.25" customHeight="1">
      <c r="A29" s="4" t="s">
        <v>1010</v>
      </c>
      <c r="B29" s="5" t="s">
        <v>928</v>
      </c>
      <c r="C29" s="5" t="s">
        <v>67</v>
      </c>
      <c r="D29" s="5" t="s">
        <v>954</v>
      </c>
      <c r="E29" s="5" t="s">
        <v>1011</v>
      </c>
      <c r="F29" s="5" t="s">
        <v>956</v>
      </c>
      <c r="G29" s="5" t="s">
        <v>1012</v>
      </c>
      <c r="H29" s="5" t="s">
        <v>1013</v>
      </c>
      <c r="I29" s="6" t="s">
        <v>1014</v>
      </c>
    </row>
    <row r="30" spans="1:9" ht="69.25" customHeight="1">
      <c r="A30" s="4" t="s">
        <v>197</v>
      </c>
      <c r="B30" s="5" t="s">
        <v>921</v>
      </c>
      <c r="C30" s="5" t="s">
        <v>57</v>
      </c>
      <c r="D30" s="5" t="s">
        <v>934</v>
      </c>
      <c r="E30" s="5" t="s">
        <v>1015</v>
      </c>
      <c r="F30" s="5" t="s">
        <v>1016</v>
      </c>
      <c r="G30" s="5" t="s">
        <v>948</v>
      </c>
      <c r="H30" s="5" t="s">
        <v>1017</v>
      </c>
      <c r="I30" s="6" t="s">
        <v>1018</v>
      </c>
    </row>
    <row r="31" spans="1:9" ht="69.25" customHeight="1">
      <c r="A31" s="4" t="s">
        <v>1019</v>
      </c>
      <c r="B31" s="5" t="s">
        <v>1020</v>
      </c>
      <c r="C31" s="5" t="s">
        <v>1021</v>
      </c>
      <c r="D31" s="5" t="s">
        <v>922</v>
      </c>
      <c r="E31" s="5" t="s">
        <v>1022</v>
      </c>
      <c r="F31" s="5" t="s">
        <v>924</v>
      </c>
      <c r="G31" s="5" t="s">
        <v>925</v>
      </c>
      <c r="H31" s="5" t="s">
        <v>1023</v>
      </c>
      <c r="I31" s="6" t="s">
        <v>1024</v>
      </c>
    </row>
    <row r="32" spans="1:9" ht="69.25" customHeight="1">
      <c r="A32" s="4" t="s">
        <v>479</v>
      </c>
      <c r="B32" s="5" t="s">
        <v>1020</v>
      </c>
      <c r="C32" s="5" t="s">
        <v>57</v>
      </c>
      <c r="D32" s="5" t="s">
        <v>811</v>
      </c>
      <c r="E32" s="5" t="s">
        <v>1025</v>
      </c>
      <c r="F32" s="5" t="s">
        <v>475</v>
      </c>
      <c r="G32" s="5" t="s">
        <v>925</v>
      </c>
      <c r="H32" s="5" t="s">
        <v>1026</v>
      </c>
      <c r="I32" s="6" t="s">
        <v>1027</v>
      </c>
    </row>
    <row r="33" spans="1:9" ht="69.25" customHeight="1">
      <c r="A33" s="4" t="s">
        <v>484</v>
      </c>
      <c r="B33" s="5" t="s">
        <v>1020</v>
      </c>
      <c r="C33" s="5" t="s">
        <v>57</v>
      </c>
      <c r="D33" s="5" t="s">
        <v>934</v>
      </c>
      <c r="E33" s="5" t="s">
        <v>1028</v>
      </c>
      <c r="F33" s="5" t="s">
        <v>481</v>
      </c>
      <c r="G33" s="5" t="s">
        <v>925</v>
      </c>
      <c r="H33" s="5" t="s">
        <v>1029</v>
      </c>
      <c r="I33" s="6" t="s">
        <v>1030</v>
      </c>
    </row>
    <row r="34" spans="1:9" ht="69.25" customHeight="1">
      <c r="A34" s="4" t="s">
        <v>1031</v>
      </c>
      <c r="B34" s="5" t="s">
        <v>1020</v>
      </c>
      <c r="C34" s="5" t="s">
        <v>1021</v>
      </c>
      <c r="D34" s="5" t="s">
        <v>934</v>
      </c>
      <c r="E34" s="5" t="s">
        <v>1032</v>
      </c>
      <c r="F34" s="5" t="s">
        <v>924</v>
      </c>
      <c r="G34" s="5" t="s">
        <v>925</v>
      </c>
      <c r="H34" s="5" t="s">
        <v>1033</v>
      </c>
      <c r="I34" s="6" t="s">
        <v>1034</v>
      </c>
    </row>
    <row r="35" spans="1:9" ht="69.25" customHeight="1">
      <c r="A35" s="4" t="s">
        <v>522</v>
      </c>
      <c r="B35" s="5" t="s">
        <v>1020</v>
      </c>
      <c r="C35" s="5" t="s">
        <v>1021</v>
      </c>
      <c r="D35" s="5" t="s">
        <v>934</v>
      </c>
      <c r="E35" s="5" t="s">
        <v>1035</v>
      </c>
      <c r="F35" s="5" t="s">
        <v>517</v>
      </c>
      <c r="G35" s="5" t="s">
        <v>948</v>
      </c>
      <c r="H35" s="5" t="s">
        <v>1036</v>
      </c>
      <c r="I35" s="6" t="s">
        <v>1037</v>
      </c>
    </row>
    <row r="36" spans="1:9" ht="69.25" customHeight="1">
      <c r="A36" s="4" t="s">
        <v>528</v>
      </c>
      <c r="B36" s="5" t="s">
        <v>1020</v>
      </c>
      <c r="C36" s="5" t="s">
        <v>1021</v>
      </c>
      <c r="D36" s="5" t="s">
        <v>934</v>
      </c>
      <c r="E36" s="5" t="s">
        <v>1035</v>
      </c>
      <c r="F36" s="5" t="s">
        <v>525</v>
      </c>
      <c r="G36" s="5" t="s">
        <v>948</v>
      </c>
      <c r="H36" s="5" t="s">
        <v>1038</v>
      </c>
      <c r="I36" s="6" t="s">
        <v>1039</v>
      </c>
    </row>
    <row r="37" spans="1:9" ht="69.25" customHeight="1">
      <c r="A37" s="4" t="s">
        <v>534</v>
      </c>
      <c r="B37" s="5" t="s">
        <v>1020</v>
      </c>
      <c r="C37" s="5" t="s">
        <v>1021</v>
      </c>
      <c r="D37" s="5" t="s">
        <v>934</v>
      </c>
      <c r="E37" s="5" t="s">
        <v>1035</v>
      </c>
      <c r="F37" s="5" t="s">
        <v>531</v>
      </c>
      <c r="G37" s="5" t="s">
        <v>948</v>
      </c>
      <c r="H37" s="5" t="s">
        <v>1040</v>
      </c>
      <c r="I37" s="6" t="s">
        <v>1039</v>
      </c>
    </row>
    <row r="38" spans="1:9" ht="69.25" customHeight="1">
      <c r="A38" s="4" t="s">
        <v>1041</v>
      </c>
      <c r="B38" s="5" t="s">
        <v>1020</v>
      </c>
      <c r="C38" s="5" t="s">
        <v>1021</v>
      </c>
      <c r="D38" s="5" t="s">
        <v>954</v>
      </c>
      <c r="E38" s="5" t="s">
        <v>1035</v>
      </c>
      <c r="F38" s="5" t="s">
        <v>956</v>
      </c>
      <c r="G38" s="5" t="s">
        <v>1042</v>
      </c>
      <c r="H38" s="5" t="s">
        <v>1043</v>
      </c>
      <c r="I38" s="6" t="s">
        <v>1044</v>
      </c>
    </row>
    <row r="39" spans="1:9" ht="69.25" customHeight="1">
      <c r="A39" s="4" t="s">
        <v>508</v>
      </c>
      <c r="B39" s="5" t="s">
        <v>1020</v>
      </c>
      <c r="C39" s="5" t="s">
        <v>67</v>
      </c>
      <c r="D39" s="5" t="s">
        <v>1045</v>
      </c>
      <c r="E39" s="5" t="s">
        <v>1046</v>
      </c>
      <c r="F39" s="5" t="s">
        <v>504</v>
      </c>
      <c r="G39" s="5" t="s">
        <v>1047</v>
      </c>
      <c r="H39" s="5" t="s">
        <v>1048</v>
      </c>
      <c r="I39" s="6" t="s">
        <v>497</v>
      </c>
    </row>
    <row r="40" spans="1:9" ht="69.25" customHeight="1">
      <c r="A40" s="4" t="s">
        <v>561</v>
      </c>
      <c r="B40" s="5" t="s">
        <v>1020</v>
      </c>
      <c r="C40" s="5" t="s">
        <v>1049</v>
      </c>
      <c r="D40" s="5" t="s">
        <v>1045</v>
      </c>
      <c r="E40" s="5" t="s">
        <v>1046</v>
      </c>
      <c r="F40" s="5" t="s">
        <v>558</v>
      </c>
      <c r="G40" s="5" t="s">
        <v>1047</v>
      </c>
      <c r="H40" s="5" t="s">
        <v>1050</v>
      </c>
      <c r="I40" s="6" t="s">
        <v>1051</v>
      </c>
    </row>
    <row r="41" spans="1:9" ht="69.25" customHeight="1">
      <c r="A41" s="4" t="s">
        <v>596</v>
      </c>
      <c r="B41" s="5" t="s">
        <v>1020</v>
      </c>
      <c r="C41" s="5" t="s">
        <v>67</v>
      </c>
      <c r="D41" s="5" t="s">
        <v>1045</v>
      </c>
      <c r="E41" s="5" t="s">
        <v>1046</v>
      </c>
      <c r="F41" s="5" t="s">
        <v>594</v>
      </c>
      <c r="G41" s="5" t="s">
        <v>1047</v>
      </c>
      <c r="H41" s="5" t="s">
        <v>1052</v>
      </c>
      <c r="I41" s="6" t="s">
        <v>1053</v>
      </c>
    </row>
    <row r="42" spans="1:9" ht="69.25" customHeight="1">
      <c r="A42" s="4" t="s">
        <v>1054</v>
      </c>
      <c r="B42" s="5" t="s">
        <v>1020</v>
      </c>
      <c r="C42" s="5" t="s">
        <v>1049</v>
      </c>
      <c r="D42" s="5" t="s">
        <v>954</v>
      </c>
      <c r="E42" s="5" t="s">
        <v>944</v>
      </c>
      <c r="F42" s="5" t="s">
        <v>956</v>
      </c>
      <c r="G42" s="5" t="s">
        <v>1055</v>
      </c>
      <c r="H42" s="5" t="s">
        <v>1056</v>
      </c>
      <c r="I42" s="6" t="s">
        <v>1057</v>
      </c>
    </row>
    <row r="43" spans="1:9" ht="69.25" customHeight="1">
      <c r="A43" s="4" t="s">
        <v>606</v>
      </c>
      <c r="B43" s="5" t="s">
        <v>1020</v>
      </c>
      <c r="C43" s="5" t="s">
        <v>67</v>
      </c>
      <c r="D43" s="5" t="s">
        <v>934</v>
      </c>
      <c r="E43" s="5" t="s">
        <v>964</v>
      </c>
      <c r="F43" s="5" t="s">
        <v>603</v>
      </c>
      <c r="G43" s="5" t="s">
        <v>972</v>
      </c>
      <c r="H43" s="5" t="s">
        <v>1058</v>
      </c>
      <c r="I43" s="6" t="s">
        <v>1059</v>
      </c>
    </row>
    <row r="44" spans="1:9" ht="69.25" customHeight="1">
      <c r="A44" s="4" t="s">
        <v>611</v>
      </c>
      <c r="B44" s="5" t="s">
        <v>1020</v>
      </c>
      <c r="C44" s="5" t="s">
        <v>67</v>
      </c>
      <c r="D44" s="5" t="s">
        <v>934</v>
      </c>
      <c r="E44" s="5" t="s">
        <v>1060</v>
      </c>
      <c r="F44" s="5" t="s">
        <v>608</v>
      </c>
      <c r="G44" s="5" t="s">
        <v>972</v>
      </c>
      <c r="H44" s="5" t="s">
        <v>1061</v>
      </c>
      <c r="I44" s="6" t="s">
        <v>1062</v>
      </c>
    </row>
    <row r="45" spans="1:9" ht="69.25" customHeight="1">
      <c r="A45" s="4" t="s">
        <v>577</v>
      </c>
      <c r="B45" s="5" t="s">
        <v>1020</v>
      </c>
      <c r="C45" s="5" t="s">
        <v>1063</v>
      </c>
      <c r="D45" s="5" t="s">
        <v>934</v>
      </c>
      <c r="E45" s="5" t="s">
        <v>944</v>
      </c>
      <c r="F45" s="5" t="s">
        <v>573</v>
      </c>
      <c r="G45" s="5" t="s">
        <v>1064</v>
      </c>
      <c r="H45" s="5" t="s">
        <v>1065</v>
      </c>
      <c r="I45" s="6" t="s">
        <v>1066</v>
      </c>
    </row>
    <row r="46" spans="1:9" ht="69.25" customHeight="1">
      <c r="A46" s="4" t="s">
        <v>584</v>
      </c>
      <c r="B46" s="5" t="s">
        <v>1020</v>
      </c>
      <c r="C46" s="5" t="s">
        <v>1063</v>
      </c>
      <c r="D46" s="5" t="s">
        <v>1045</v>
      </c>
      <c r="E46" s="5" t="s">
        <v>1046</v>
      </c>
      <c r="F46" s="5" t="s">
        <v>581</v>
      </c>
      <c r="G46" s="5" t="s">
        <v>1047</v>
      </c>
      <c r="H46" s="5" t="s">
        <v>1067</v>
      </c>
      <c r="I46" s="6" t="s">
        <v>1068</v>
      </c>
    </row>
    <row r="47" spans="1:9" ht="69.25" customHeight="1">
      <c r="A47" s="4" t="s">
        <v>1069</v>
      </c>
      <c r="B47" s="5" t="s">
        <v>1020</v>
      </c>
      <c r="C47" s="5" t="s">
        <v>1063</v>
      </c>
      <c r="D47" s="5" t="s">
        <v>954</v>
      </c>
      <c r="E47" s="5" t="s">
        <v>1070</v>
      </c>
      <c r="F47" s="5" t="s">
        <v>956</v>
      </c>
      <c r="G47" s="5" t="s">
        <v>925</v>
      </c>
      <c r="H47" s="5" t="s">
        <v>1071</v>
      </c>
      <c r="I47" s="6" t="s">
        <v>1072</v>
      </c>
    </row>
    <row r="48" spans="1:9" ht="69.25" customHeight="1">
      <c r="A48" s="4" t="s">
        <v>1073</v>
      </c>
      <c r="B48" s="5" t="s">
        <v>928</v>
      </c>
      <c r="C48" s="5" t="s">
        <v>1074</v>
      </c>
      <c r="D48" s="5" t="s">
        <v>1075</v>
      </c>
      <c r="E48" s="5" t="s">
        <v>1076</v>
      </c>
      <c r="F48" s="5" t="s">
        <v>956</v>
      </c>
      <c r="G48" s="5" t="s">
        <v>1077</v>
      </c>
      <c r="H48" s="5" t="s">
        <v>1078</v>
      </c>
      <c r="I48" s="6" t="s">
        <v>1079</v>
      </c>
    </row>
    <row r="49" spans="1:9" ht="69.25" customHeight="1">
      <c r="A49" s="4" t="s">
        <v>1080</v>
      </c>
      <c r="B49" s="5" t="s">
        <v>928</v>
      </c>
      <c r="C49" s="5" t="s">
        <v>1074</v>
      </c>
      <c r="D49" s="5" t="s">
        <v>1075</v>
      </c>
      <c r="E49" s="5" t="s">
        <v>1076</v>
      </c>
      <c r="F49" s="5" t="s">
        <v>956</v>
      </c>
      <c r="G49" s="5" t="s">
        <v>1077</v>
      </c>
      <c r="H49" s="5" t="s">
        <v>1081</v>
      </c>
      <c r="I49" s="6" t="s">
        <v>1082</v>
      </c>
    </row>
    <row r="50" spans="1:9" ht="69.25" customHeight="1">
      <c r="A50" s="4" t="s">
        <v>1083</v>
      </c>
      <c r="B50" s="5" t="s">
        <v>928</v>
      </c>
      <c r="C50" s="5" t="s">
        <v>1084</v>
      </c>
      <c r="D50" s="5" t="s">
        <v>954</v>
      </c>
      <c r="E50" s="5" t="s">
        <v>1076</v>
      </c>
      <c r="F50" s="5" t="s">
        <v>956</v>
      </c>
      <c r="G50" s="5" t="s">
        <v>1077</v>
      </c>
      <c r="H50" s="5" t="s">
        <v>1085</v>
      </c>
      <c r="I50" s="6" t="s">
        <v>1086</v>
      </c>
    </row>
    <row r="51" spans="1:9" ht="69.25" customHeight="1">
      <c r="A51" s="4" t="s">
        <v>1087</v>
      </c>
      <c r="B51" s="5" t="s">
        <v>928</v>
      </c>
      <c r="C51" s="5" t="s">
        <v>1084</v>
      </c>
      <c r="D51" s="5" t="s">
        <v>954</v>
      </c>
      <c r="E51" s="5" t="s">
        <v>1088</v>
      </c>
      <c r="F51" s="5" t="s">
        <v>956</v>
      </c>
      <c r="G51" s="5" t="s">
        <v>1077</v>
      </c>
      <c r="H51" s="5" t="s">
        <v>1089</v>
      </c>
      <c r="I51" s="6" t="s">
        <v>1090</v>
      </c>
    </row>
    <row r="52" spans="1:9" ht="69.25" customHeight="1">
      <c r="A52" s="7" t="s">
        <v>1091</v>
      </c>
      <c r="B52" s="8" t="s">
        <v>1020</v>
      </c>
      <c r="C52" s="8" t="s">
        <v>1092</v>
      </c>
      <c r="D52" s="8" t="s">
        <v>954</v>
      </c>
      <c r="E52" s="8" t="s">
        <v>1076</v>
      </c>
      <c r="F52" s="8" t="s">
        <v>956</v>
      </c>
      <c r="G52" s="8" t="s">
        <v>1077</v>
      </c>
      <c r="H52" s="8" t="s">
        <v>1093</v>
      </c>
      <c r="I52" s="9" t="s">
        <v>1094</v>
      </c>
    </row>
  </sheetData>
  <mergeCells count="2">
    <mergeCell ref="A1:I1"/>
    <mergeCell ref="A2:I2"/>
  </mergeCells>
  <phoneticPr fontId="8"/>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30"/>
  <sheetViews>
    <sheetView workbookViewId="0">
      <selection sqref="A1:K1"/>
    </sheetView>
  </sheetViews>
  <sheetFormatPr baseColWidth="10" defaultColWidth="8.83203125" defaultRowHeight="14"/>
  <cols>
    <col min="1" max="1" width="18" customWidth="1"/>
    <col min="2" max="2" width="20" customWidth="1"/>
    <col min="3" max="8" width="12" customWidth="1"/>
    <col min="9" max="10" width="14" customWidth="1"/>
    <col min="11" max="11" width="36" customWidth="1"/>
  </cols>
  <sheetData>
    <row r="1" spans="1:11" ht="40" customHeight="1">
      <c r="A1" s="14" t="s">
        <v>1095</v>
      </c>
      <c r="B1" s="14"/>
      <c r="C1" s="14"/>
      <c r="D1" s="14"/>
      <c r="E1" s="14"/>
      <c r="F1" s="14"/>
      <c r="G1" s="14"/>
      <c r="H1" s="14"/>
      <c r="I1" s="14"/>
      <c r="J1" s="14"/>
      <c r="K1" s="14"/>
    </row>
    <row r="2" spans="1:11" ht="48" customHeight="1">
      <c r="A2" s="15" t="s">
        <v>1096</v>
      </c>
      <c r="B2" s="15"/>
      <c r="C2" s="15"/>
      <c r="D2" s="15"/>
      <c r="E2" s="15"/>
      <c r="F2" s="15"/>
      <c r="G2" s="15"/>
      <c r="H2" s="15"/>
      <c r="I2" s="15"/>
      <c r="J2" s="15"/>
      <c r="K2" s="15"/>
    </row>
    <row r="4" spans="1:11" ht="16">
      <c r="A4" s="17" t="s">
        <v>1097</v>
      </c>
      <c r="B4" s="17"/>
      <c r="C4" s="17"/>
      <c r="D4" s="17"/>
      <c r="E4" s="17"/>
      <c r="F4" s="17"/>
      <c r="G4" s="17"/>
      <c r="H4" s="17"/>
      <c r="I4" s="17"/>
      <c r="J4" s="17"/>
      <c r="K4" s="17"/>
    </row>
    <row r="5" spans="1:11" ht="45.25" customHeight="1">
      <c r="A5" s="4" t="s">
        <v>928</v>
      </c>
      <c r="B5" s="6" t="s">
        <v>1098</v>
      </c>
    </row>
    <row r="6" spans="1:11" ht="45.25" customHeight="1">
      <c r="A6" s="4" t="s">
        <v>1020</v>
      </c>
      <c r="B6" s="6" t="s">
        <v>1099</v>
      </c>
    </row>
    <row r="7" spans="1:11" ht="45.25" customHeight="1">
      <c r="A7" s="4" t="s">
        <v>1100</v>
      </c>
      <c r="B7" s="6" t="s">
        <v>1101</v>
      </c>
    </row>
    <row r="8" spans="1:11" ht="45.25" customHeight="1">
      <c r="A8" s="4" t="s">
        <v>1102</v>
      </c>
      <c r="B8" s="6" t="s">
        <v>1103</v>
      </c>
    </row>
    <row r="9" spans="1:11" ht="45.25" customHeight="1">
      <c r="A9" s="7" t="s">
        <v>1104</v>
      </c>
      <c r="B9" s="9" t="s">
        <v>1105</v>
      </c>
    </row>
    <row r="11" spans="1:11" ht="16">
      <c r="A11" s="17" t="s">
        <v>1106</v>
      </c>
      <c r="B11" s="17"/>
      <c r="C11" s="17"/>
      <c r="D11" s="17"/>
      <c r="E11" s="17"/>
      <c r="F11" s="17"/>
      <c r="G11" s="17"/>
      <c r="H11" s="17"/>
      <c r="I11" s="17"/>
      <c r="J11" s="17"/>
      <c r="K11" s="17"/>
    </row>
    <row r="12" spans="1:11">
      <c r="A12" s="1" t="s">
        <v>920</v>
      </c>
      <c r="B12" s="2" t="s">
        <v>1019</v>
      </c>
      <c r="C12" s="2" t="s">
        <v>1107</v>
      </c>
      <c r="D12" s="2" t="s">
        <v>1108</v>
      </c>
      <c r="E12" s="2" t="s">
        <v>1109</v>
      </c>
      <c r="F12" s="2" t="s">
        <v>1110</v>
      </c>
      <c r="G12" s="2" t="s">
        <v>1111</v>
      </c>
      <c r="H12" s="2" t="s">
        <v>1112</v>
      </c>
      <c r="I12" s="2" t="s">
        <v>1113</v>
      </c>
      <c r="J12" s="2" t="s">
        <v>1114</v>
      </c>
      <c r="K12" s="3" t="s">
        <v>816</v>
      </c>
    </row>
    <row r="13" spans="1:11">
      <c r="A13" s="4"/>
      <c r="B13" s="5"/>
      <c r="C13" s="5"/>
      <c r="D13" s="5"/>
      <c r="E13" s="5"/>
      <c r="F13" s="5"/>
      <c r="G13" s="5"/>
      <c r="H13" s="5"/>
      <c r="I13" s="5" t="str">
        <f t="shared" ref="I13:I22" si="0">IF(COUNTA(D13:H13)=0,"",SUM(D13:H13))</f>
        <v/>
      </c>
      <c r="J13" s="5" t="str">
        <f t="shared" ref="J13:J22" si="1">IF(I13="","",IF(I13=100,"OK","要修正"))</f>
        <v/>
      </c>
      <c r="K13" s="6"/>
    </row>
    <row r="14" spans="1:11">
      <c r="A14" s="4"/>
      <c r="B14" s="5"/>
      <c r="C14" s="5"/>
      <c r="D14" s="5"/>
      <c r="E14" s="5"/>
      <c r="F14" s="5"/>
      <c r="G14" s="5"/>
      <c r="H14" s="5"/>
      <c r="I14" s="5" t="str">
        <f t="shared" si="0"/>
        <v/>
      </c>
      <c r="J14" s="5" t="str">
        <f t="shared" si="1"/>
        <v/>
      </c>
      <c r="K14" s="6"/>
    </row>
    <row r="15" spans="1:11">
      <c r="A15" s="4"/>
      <c r="B15" s="5"/>
      <c r="C15" s="5"/>
      <c r="D15" s="5"/>
      <c r="E15" s="5"/>
      <c r="F15" s="5"/>
      <c r="G15" s="5"/>
      <c r="H15" s="5"/>
      <c r="I15" s="5" t="str">
        <f t="shared" si="0"/>
        <v/>
      </c>
      <c r="J15" s="5" t="str">
        <f t="shared" si="1"/>
        <v/>
      </c>
      <c r="K15" s="6"/>
    </row>
    <row r="16" spans="1:11">
      <c r="A16" s="4"/>
      <c r="B16" s="5"/>
      <c r="C16" s="5"/>
      <c r="D16" s="5"/>
      <c r="E16" s="5"/>
      <c r="F16" s="5"/>
      <c r="G16" s="5"/>
      <c r="H16" s="5"/>
      <c r="I16" s="5" t="str">
        <f t="shared" si="0"/>
        <v/>
      </c>
      <c r="J16" s="5" t="str">
        <f t="shared" si="1"/>
        <v/>
      </c>
      <c r="K16" s="6"/>
    </row>
    <row r="17" spans="1:11">
      <c r="A17" s="4"/>
      <c r="B17" s="5"/>
      <c r="C17" s="5"/>
      <c r="D17" s="5"/>
      <c r="E17" s="5"/>
      <c r="F17" s="5"/>
      <c r="G17" s="5"/>
      <c r="H17" s="5"/>
      <c r="I17" s="5" t="str">
        <f t="shared" si="0"/>
        <v/>
      </c>
      <c r="J17" s="5" t="str">
        <f t="shared" si="1"/>
        <v/>
      </c>
      <c r="K17" s="6"/>
    </row>
    <row r="18" spans="1:11">
      <c r="A18" s="4"/>
      <c r="B18" s="5"/>
      <c r="C18" s="5"/>
      <c r="D18" s="5"/>
      <c r="E18" s="5"/>
      <c r="F18" s="5"/>
      <c r="G18" s="5"/>
      <c r="H18" s="5"/>
      <c r="I18" s="5" t="str">
        <f t="shared" si="0"/>
        <v/>
      </c>
      <c r="J18" s="5" t="str">
        <f t="shared" si="1"/>
        <v/>
      </c>
      <c r="K18" s="6"/>
    </row>
    <row r="19" spans="1:11">
      <c r="A19" s="4"/>
      <c r="B19" s="5"/>
      <c r="C19" s="5"/>
      <c r="D19" s="5"/>
      <c r="E19" s="5"/>
      <c r="F19" s="5"/>
      <c r="G19" s="5"/>
      <c r="H19" s="5"/>
      <c r="I19" s="5" t="str">
        <f t="shared" si="0"/>
        <v/>
      </c>
      <c r="J19" s="5" t="str">
        <f t="shared" si="1"/>
        <v/>
      </c>
      <c r="K19" s="6"/>
    </row>
    <row r="20" spans="1:11">
      <c r="A20" s="4"/>
      <c r="B20" s="5"/>
      <c r="C20" s="5"/>
      <c r="D20" s="5"/>
      <c r="E20" s="5"/>
      <c r="F20" s="5"/>
      <c r="G20" s="5"/>
      <c r="H20" s="5"/>
      <c r="I20" s="5" t="str">
        <f t="shared" si="0"/>
        <v/>
      </c>
      <c r="J20" s="5" t="str">
        <f t="shared" si="1"/>
        <v/>
      </c>
      <c r="K20" s="6"/>
    </row>
    <row r="21" spans="1:11">
      <c r="A21" s="4"/>
      <c r="B21" s="5"/>
      <c r="C21" s="5"/>
      <c r="D21" s="5"/>
      <c r="E21" s="5"/>
      <c r="F21" s="5"/>
      <c r="G21" s="5"/>
      <c r="H21" s="5"/>
      <c r="I21" s="5" t="str">
        <f t="shared" si="0"/>
        <v/>
      </c>
      <c r="J21" s="5" t="str">
        <f t="shared" si="1"/>
        <v/>
      </c>
      <c r="K21" s="6"/>
    </row>
    <row r="22" spans="1:11">
      <c r="A22" s="7"/>
      <c r="B22" s="8"/>
      <c r="C22" s="8"/>
      <c r="D22" s="8"/>
      <c r="E22" s="8"/>
      <c r="F22" s="8"/>
      <c r="G22" s="8"/>
      <c r="H22" s="8"/>
      <c r="I22" s="8" t="str">
        <f t="shared" si="0"/>
        <v/>
      </c>
      <c r="J22" s="8" t="str">
        <f t="shared" si="1"/>
        <v/>
      </c>
      <c r="K22" s="9"/>
    </row>
    <row r="24" spans="1:11" ht="16">
      <c r="A24" s="17" t="s">
        <v>1115</v>
      </c>
      <c r="B24" s="17"/>
      <c r="C24" s="17"/>
      <c r="D24" s="17"/>
      <c r="E24" s="17"/>
      <c r="F24" s="17"/>
      <c r="G24" s="17"/>
      <c r="H24" s="17"/>
      <c r="I24" s="17"/>
      <c r="J24" s="17"/>
      <c r="K24" s="17"/>
    </row>
    <row r="25" spans="1:11" ht="56" customHeight="1">
      <c r="A25" s="4" t="s">
        <v>1116</v>
      </c>
      <c r="B25" s="6" t="s">
        <v>1117</v>
      </c>
    </row>
    <row r="26" spans="1:11" ht="56" customHeight="1">
      <c r="A26" s="4" t="s">
        <v>1118</v>
      </c>
      <c r="B26" s="6" t="s">
        <v>1119</v>
      </c>
    </row>
    <row r="27" spans="1:11" ht="56" customHeight="1">
      <c r="A27" s="4" t="s">
        <v>1120</v>
      </c>
      <c r="B27" s="6" t="s">
        <v>1121</v>
      </c>
    </row>
    <row r="28" spans="1:11" ht="56" customHeight="1">
      <c r="A28" s="4" t="s">
        <v>1122</v>
      </c>
      <c r="B28" s="6" t="s">
        <v>1123</v>
      </c>
    </row>
    <row r="29" spans="1:11" ht="56" customHeight="1">
      <c r="A29" s="4" t="s">
        <v>1124</v>
      </c>
      <c r="B29" s="6" t="s">
        <v>1125</v>
      </c>
    </row>
    <row r="30" spans="1:11" ht="56" customHeight="1">
      <c r="A30" s="7" t="s">
        <v>1126</v>
      </c>
      <c r="B30" s="9" t="s">
        <v>1127</v>
      </c>
    </row>
  </sheetData>
  <mergeCells count="5">
    <mergeCell ref="A1:K1"/>
    <mergeCell ref="A2:K2"/>
    <mergeCell ref="A4:K4"/>
    <mergeCell ref="A11:K11"/>
    <mergeCell ref="A24:K24"/>
  </mergeCells>
  <phoneticPr fontId="8"/>
  <conditionalFormatting sqref="J13:J22">
    <cfRule type="expression" dxfId="1" priority="1">
      <formula>J13="OK"</formula>
    </cfRule>
    <cfRule type="expression" dxfId="0" priority="2">
      <formula>J13="要修正"</formula>
    </cfRule>
  </conditionalFormatting>
  <dataValidations count="2">
    <dataValidation type="list" sqref="C13:C22" xr:uid="{00000000-0002-0000-0600-000000000000}">
      <formula1>"1,2,3,4,5"</formula1>
    </dataValidation>
    <dataValidation sqref="D13:H22" xr:uid="{00000000-0002-0000-0600-000001000000}">
      <formula1>0</formula1>
      <formula2>100</formula2>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56"/>
  <sheetViews>
    <sheetView workbookViewId="0">
      <selection sqref="A1:F1"/>
    </sheetView>
  </sheetViews>
  <sheetFormatPr baseColWidth="10" defaultColWidth="8.83203125" defaultRowHeight="14"/>
  <cols>
    <col min="1" max="1" width="27" customWidth="1"/>
    <col min="2" max="2" width="10" customWidth="1"/>
    <col min="3" max="3" width="43" customWidth="1"/>
    <col min="4" max="4" width="34" customWidth="1"/>
    <col min="5" max="5" width="10" customWidth="1"/>
    <col min="6" max="6" width="43" customWidth="1"/>
  </cols>
  <sheetData>
    <row r="1" spans="1:6" ht="40" customHeight="1">
      <c r="A1" s="14" t="s">
        <v>1128</v>
      </c>
      <c r="B1" s="14"/>
      <c r="C1" s="14"/>
      <c r="D1" s="14"/>
      <c r="E1" s="14"/>
      <c r="F1" s="14"/>
    </row>
    <row r="2" spans="1:6" ht="50.75" customHeight="1">
      <c r="A2" s="15" t="s">
        <v>1129</v>
      </c>
      <c r="B2" s="15"/>
      <c r="C2" s="15"/>
      <c r="D2" s="15"/>
      <c r="E2" s="15"/>
      <c r="F2" s="15"/>
    </row>
    <row r="3" spans="1:6" ht="45.25" customHeight="1">
      <c r="A3" s="1" t="s">
        <v>1130</v>
      </c>
      <c r="B3" s="2" t="s">
        <v>1131</v>
      </c>
      <c r="C3" s="2" t="s">
        <v>1132</v>
      </c>
      <c r="D3" s="2" t="s">
        <v>1133</v>
      </c>
      <c r="E3" s="2" t="s">
        <v>954</v>
      </c>
      <c r="F3" s="3" t="s">
        <v>1134</v>
      </c>
    </row>
    <row r="4" spans="1:6" ht="36" customHeight="1">
      <c r="A4" s="12" t="s">
        <v>169</v>
      </c>
      <c r="B4" s="5">
        <v>1</v>
      </c>
      <c r="C4" s="5" t="s">
        <v>152</v>
      </c>
      <c r="D4" s="5" t="s">
        <v>1135</v>
      </c>
      <c r="E4" s="5">
        <v>1</v>
      </c>
      <c r="F4" s="6"/>
    </row>
    <row r="5" spans="1:6" ht="36" customHeight="1">
      <c r="A5" s="12" t="s">
        <v>169</v>
      </c>
      <c r="B5" s="5">
        <v>2</v>
      </c>
      <c r="C5" s="5" t="s">
        <v>275</v>
      </c>
      <c r="D5" s="5" t="s">
        <v>1136</v>
      </c>
      <c r="E5" s="5">
        <v>0</v>
      </c>
      <c r="F5" s="6"/>
    </row>
    <row r="6" spans="1:6" ht="36" customHeight="1">
      <c r="A6" s="12" t="s">
        <v>260</v>
      </c>
      <c r="B6" s="5">
        <v>1</v>
      </c>
      <c r="C6" s="5" t="s">
        <v>152</v>
      </c>
      <c r="D6" s="5" t="s">
        <v>1135</v>
      </c>
      <c r="E6" s="5">
        <v>1</v>
      </c>
      <c r="F6" s="6"/>
    </row>
    <row r="7" spans="1:6" ht="36" customHeight="1">
      <c r="A7" s="12" t="s">
        <v>260</v>
      </c>
      <c r="B7" s="5">
        <v>2</v>
      </c>
      <c r="C7" s="5" t="s">
        <v>275</v>
      </c>
      <c r="D7" s="5" t="s">
        <v>1136</v>
      </c>
      <c r="E7" s="5">
        <v>0</v>
      </c>
      <c r="F7" s="6"/>
    </row>
    <row r="8" spans="1:6" ht="36" customHeight="1">
      <c r="A8" s="12" t="s">
        <v>260</v>
      </c>
      <c r="B8" s="5">
        <v>3</v>
      </c>
      <c r="C8" s="5" t="s">
        <v>1137</v>
      </c>
      <c r="D8" s="5" t="s">
        <v>1138</v>
      </c>
      <c r="E8" s="5">
        <v>9</v>
      </c>
      <c r="F8" s="6"/>
    </row>
    <row r="9" spans="1:6" ht="36" customHeight="1">
      <c r="A9" s="12" t="s">
        <v>157</v>
      </c>
      <c r="B9" s="5">
        <v>1</v>
      </c>
      <c r="C9" s="5" t="s">
        <v>1139</v>
      </c>
      <c r="D9" s="5" t="s">
        <v>1140</v>
      </c>
      <c r="E9" s="5">
        <v>1</v>
      </c>
      <c r="F9" s="6"/>
    </row>
    <row r="10" spans="1:6" ht="36" customHeight="1">
      <c r="A10" s="12" t="s">
        <v>157</v>
      </c>
      <c r="B10" s="5">
        <v>2</v>
      </c>
      <c r="C10" s="5" t="s">
        <v>1141</v>
      </c>
      <c r="D10" s="5" t="s">
        <v>1142</v>
      </c>
      <c r="E10" s="5">
        <v>0</v>
      </c>
      <c r="F10" s="6"/>
    </row>
    <row r="11" spans="1:6" ht="36" customHeight="1">
      <c r="A11" s="12" t="s">
        <v>151</v>
      </c>
      <c r="B11" s="5">
        <v>1</v>
      </c>
      <c r="C11" s="5" t="s">
        <v>1143</v>
      </c>
      <c r="D11" s="5" t="s">
        <v>1144</v>
      </c>
      <c r="E11" s="5">
        <v>0</v>
      </c>
      <c r="F11" s="6" t="s">
        <v>1145</v>
      </c>
    </row>
    <row r="12" spans="1:6" ht="36" customHeight="1">
      <c r="A12" s="12" t="s">
        <v>151</v>
      </c>
      <c r="B12" s="5">
        <v>2</v>
      </c>
      <c r="C12" s="5" t="s">
        <v>1146</v>
      </c>
      <c r="D12" s="5" t="s">
        <v>1147</v>
      </c>
      <c r="E12" s="5">
        <v>1</v>
      </c>
      <c r="F12" s="6"/>
    </row>
    <row r="13" spans="1:6" ht="36" customHeight="1">
      <c r="A13" s="12" t="s">
        <v>151</v>
      </c>
      <c r="B13" s="5">
        <v>3</v>
      </c>
      <c r="C13" s="5" t="s">
        <v>1148</v>
      </c>
      <c r="D13" s="5" t="s">
        <v>1138</v>
      </c>
      <c r="E13" s="5">
        <v>9</v>
      </c>
      <c r="F13" s="6"/>
    </row>
    <row r="14" spans="1:6" ht="36" customHeight="1">
      <c r="A14" s="12" t="s">
        <v>180</v>
      </c>
      <c r="B14" s="5">
        <v>1</v>
      </c>
      <c r="C14" s="5" t="s">
        <v>1149</v>
      </c>
      <c r="D14" s="5" t="s">
        <v>1150</v>
      </c>
      <c r="E14" s="5">
        <v>0</v>
      </c>
      <c r="F14" s="6" t="s">
        <v>1151</v>
      </c>
    </row>
    <row r="15" spans="1:6" ht="36" customHeight="1">
      <c r="A15" s="12" t="s">
        <v>180</v>
      </c>
      <c r="B15" s="5">
        <v>2</v>
      </c>
      <c r="C15" s="5" t="s">
        <v>1152</v>
      </c>
      <c r="D15" s="5" t="s">
        <v>1153</v>
      </c>
      <c r="E15" s="5">
        <v>1</v>
      </c>
      <c r="F15" s="6"/>
    </row>
    <row r="16" spans="1:6" ht="36" customHeight="1">
      <c r="A16" s="12" t="s">
        <v>180</v>
      </c>
      <c r="B16" s="5">
        <v>3</v>
      </c>
      <c r="C16" s="5" t="s">
        <v>1154</v>
      </c>
      <c r="D16" s="5" t="s">
        <v>1155</v>
      </c>
      <c r="E16" s="5">
        <v>2</v>
      </c>
      <c r="F16" s="6"/>
    </row>
    <row r="17" spans="1:6" ht="36" customHeight="1">
      <c r="A17" s="12" t="s">
        <v>180</v>
      </c>
      <c r="B17" s="5">
        <v>4</v>
      </c>
      <c r="C17" s="5" t="s">
        <v>1156</v>
      </c>
      <c r="D17" s="5" t="s">
        <v>1157</v>
      </c>
      <c r="E17" s="5">
        <v>3</v>
      </c>
      <c r="F17" s="6"/>
    </row>
    <row r="18" spans="1:6" ht="36" customHeight="1">
      <c r="A18" s="12" t="s">
        <v>180</v>
      </c>
      <c r="B18" s="5">
        <v>5</v>
      </c>
      <c r="C18" s="5" t="s">
        <v>1158</v>
      </c>
      <c r="D18" s="5" t="s">
        <v>1159</v>
      </c>
      <c r="E18" s="5">
        <v>4</v>
      </c>
      <c r="F18" s="6"/>
    </row>
    <row r="19" spans="1:6" ht="36" customHeight="1">
      <c r="A19" s="12" t="s">
        <v>210</v>
      </c>
      <c r="B19" s="5">
        <v>1</v>
      </c>
      <c r="C19" s="5" t="s">
        <v>1160</v>
      </c>
      <c r="D19" s="5" t="s">
        <v>1161</v>
      </c>
      <c r="E19" s="5">
        <v>1</v>
      </c>
      <c r="F19" s="6"/>
    </row>
    <row r="20" spans="1:6" ht="36" customHeight="1">
      <c r="A20" s="12" t="s">
        <v>210</v>
      </c>
      <c r="B20" s="5">
        <v>2</v>
      </c>
      <c r="C20" s="5" t="s">
        <v>1162</v>
      </c>
      <c r="D20" s="5" t="s">
        <v>1163</v>
      </c>
      <c r="E20" s="5">
        <v>2</v>
      </c>
      <c r="F20" s="6"/>
    </row>
    <row r="21" spans="1:6" ht="36" customHeight="1">
      <c r="A21" s="12" t="s">
        <v>210</v>
      </c>
      <c r="B21" s="5">
        <v>3</v>
      </c>
      <c r="C21" s="5" t="s">
        <v>1164</v>
      </c>
      <c r="D21" s="5" t="s">
        <v>1165</v>
      </c>
      <c r="E21" s="5">
        <v>3</v>
      </c>
      <c r="F21" s="6"/>
    </row>
    <row r="22" spans="1:6" ht="36" customHeight="1">
      <c r="A22" s="12" t="s">
        <v>210</v>
      </c>
      <c r="B22" s="5">
        <v>4</v>
      </c>
      <c r="C22" s="5" t="s">
        <v>1166</v>
      </c>
      <c r="D22" s="5" t="s">
        <v>1167</v>
      </c>
      <c r="E22" s="5">
        <v>4</v>
      </c>
      <c r="F22" s="6"/>
    </row>
    <row r="23" spans="1:6" ht="36" customHeight="1">
      <c r="A23" s="12" t="s">
        <v>210</v>
      </c>
      <c r="B23" s="5">
        <v>5</v>
      </c>
      <c r="C23" s="5" t="s">
        <v>1168</v>
      </c>
      <c r="D23" s="5" t="s">
        <v>1169</v>
      </c>
      <c r="E23" s="5">
        <v>5</v>
      </c>
      <c r="F23" s="6"/>
    </row>
    <row r="24" spans="1:6" ht="36" customHeight="1">
      <c r="A24" s="12" t="s">
        <v>218</v>
      </c>
      <c r="B24" s="5">
        <v>1</v>
      </c>
      <c r="C24" s="5" t="s">
        <v>1170</v>
      </c>
      <c r="D24" s="5" t="s">
        <v>1171</v>
      </c>
      <c r="E24" s="5">
        <v>1</v>
      </c>
      <c r="F24" s="6"/>
    </row>
    <row r="25" spans="1:6" ht="36" customHeight="1">
      <c r="A25" s="12" t="s">
        <v>218</v>
      </c>
      <c r="B25" s="5">
        <v>2</v>
      </c>
      <c r="C25" s="5" t="s">
        <v>1172</v>
      </c>
      <c r="D25" s="5" t="s">
        <v>1173</v>
      </c>
      <c r="E25" s="5">
        <v>2</v>
      </c>
      <c r="F25" s="6"/>
    </row>
    <row r="26" spans="1:6" ht="36" customHeight="1">
      <c r="A26" s="12" t="s">
        <v>218</v>
      </c>
      <c r="B26" s="5">
        <v>3</v>
      </c>
      <c r="C26" s="5" t="s">
        <v>1174</v>
      </c>
      <c r="D26" s="5" t="s">
        <v>1175</v>
      </c>
      <c r="E26" s="5">
        <v>3</v>
      </c>
      <c r="F26" s="6"/>
    </row>
    <row r="27" spans="1:6" ht="36" customHeight="1">
      <c r="A27" s="12" t="s">
        <v>218</v>
      </c>
      <c r="B27" s="5">
        <v>4</v>
      </c>
      <c r="C27" s="5" t="s">
        <v>1176</v>
      </c>
      <c r="D27" s="5" t="s">
        <v>1177</v>
      </c>
      <c r="E27" s="5">
        <v>4</v>
      </c>
      <c r="F27" s="6"/>
    </row>
    <row r="28" spans="1:6" ht="36" customHeight="1">
      <c r="A28" s="12" t="s">
        <v>218</v>
      </c>
      <c r="B28" s="5">
        <v>5</v>
      </c>
      <c r="C28" s="5" t="s">
        <v>1178</v>
      </c>
      <c r="D28" s="5" t="s">
        <v>1179</v>
      </c>
      <c r="E28" s="5">
        <v>5</v>
      </c>
      <c r="F28" s="6"/>
    </row>
    <row r="29" spans="1:6" ht="36" customHeight="1">
      <c r="A29" s="12" t="s">
        <v>225</v>
      </c>
      <c r="B29" s="5">
        <v>1</v>
      </c>
      <c r="C29" s="5" t="s">
        <v>1180</v>
      </c>
      <c r="D29" s="5" t="s">
        <v>1181</v>
      </c>
      <c r="E29" s="5">
        <v>-2</v>
      </c>
      <c r="F29" s="6"/>
    </row>
    <row r="30" spans="1:6" ht="36" customHeight="1">
      <c r="A30" s="12" t="s">
        <v>225</v>
      </c>
      <c r="B30" s="5">
        <v>2</v>
      </c>
      <c r="C30" s="5" t="s">
        <v>1182</v>
      </c>
      <c r="D30" s="5" t="s">
        <v>1183</v>
      </c>
      <c r="E30" s="5">
        <v>-1</v>
      </c>
      <c r="F30" s="6"/>
    </row>
    <row r="31" spans="1:6" ht="36" customHeight="1">
      <c r="A31" s="12" t="s">
        <v>225</v>
      </c>
      <c r="B31" s="5">
        <v>3</v>
      </c>
      <c r="C31" s="5" t="s">
        <v>1184</v>
      </c>
      <c r="D31" s="5" t="s">
        <v>1185</v>
      </c>
      <c r="E31" s="5">
        <v>0</v>
      </c>
      <c r="F31" s="6"/>
    </row>
    <row r="32" spans="1:6" ht="36" customHeight="1">
      <c r="A32" s="12" t="s">
        <v>225</v>
      </c>
      <c r="B32" s="5">
        <v>4</v>
      </c>
      <c r="C32" s="5" t="s">
        <v>1186</v>
      </c>
      <c r="D32" s="5" t="s">
        <v>1187</v>
      </c>
      <c r="E32" s="5">
        <v>1</v>
      </c>
      <c r="F32" s="6"/>
    </row>
    <row r="33" spans="1:6" ht="36" customHeight="1">
      <c r="A33" s="12" t="s">
        <v>225</v>
      </c>
      <c r="B33" s="5">
        <v>5</v>
      </c>
      <c r="C33" s="5" t="s">
        <v>1188</v>
      </c>
      <c r="D33" s="5" t="s">
        <v>1189</v>
      </c>
      <c r="E33" s="5">
        <v>2</v>
      </c>
      <c r="F33" s="6"/>
    </row>
    <row r="34" spans="1:6" ht="36" customHeight="1">
      <c r="A34" s="12" t="s">
        <v>232</v>
      </c>
      <c r="B34" s="5">
        <v>1</v>
      </c>
      <c r="C34" s="5" t="s">
        <v>1190</v>
      </c>
      <c r="D34" s="5" t="s">
        <v>1191</v>
      </c>
      <c r="E34" s="5">
        <v>1</v>
      </c>
      <c r="F34" s="6"/>
    </row>
    <row r="35" spans="1:6" ht="36" customHeight="1">
      <c r="A35" s="12" t="s">
        <v>232</v>
      </c>
      <c r="B35" s="5">
        <v>2</v>
      </c>
      <c r="C35" s="5" t="s">
        <v>1192</v>
      </c>
      <c r="D35" s="5" t="s">
        <v>1193</v>
      </c>
      <c r="E35" s="5">
        <v>2</v>
      </c>
      <c r="F35" s="6"/>
    </row>
    <row r="36" spans="1:6" ht="36" customHeight="1">
      <c r="A36" s="12" t="s">
        <v>232</v>
      </c>
      <c r="B36" s="5">
        <v>3</v>
      </c>
      <c r="C36" s="5" t="s">
        <v>1194</v>
      </c>
      <c r="D36" s="5" t="s">
        <v>1195</v>
      </c>
      <c r="E36" s="5">
        <v>3</v>
      </c>
      <c r="F36" s="6"/>
    </row>
    <row r="37" spans="1:6" ht="36" customHeight="1">
      <c r="A37" s="12" t="s">
        <v>232</v>
      </c>
      <c r="B37" s="5">
        <v>4</v>
      </c>
      <c r="C37" s="5" t="s">
        <v>1196</v>
      </c>
      <c r="D37" s="5" t="s">
        <v>1197</v>
      </c>
      <c r="E37" s="5">
        <v>4</v>
      </c>
      <c r="F37" s="6"/>
    </row>
    <row r="38" spans="1:6" ht="36" customHeight="1">
      <c r="A38" s="12" t="s">
        <v>232</v>
      </c>
      <c r="B38" s="5">
        <v>5</v>
      </c>
      <c r="C38" s="5" t="s">
        <v>1198</v>
      </c>
      <c r="D38" s="5" t="s">
        <v>1199</v>
      </c>
      <c r="E38" s="5">
        <v>5</v>
      </c>
      <c r="F38" s="6"/>
    </row>
    <row r="39" spans="1:6" ht="36" customHeight="1">
      <c r="A39" s="12" t="s">
        <v>232</v>
      </c>
      <c r="B39" s="5">
        <v>6</v>
      </c>
      <c r="C39" s="5" t="s">
        <v>1200</v>
      </c>
      <c r="D39" s="5" t="s">
        <v>1201</v>
      </c>
      <c r="E39" s="5">
        <v>6</v>
      </c>
      <c r="F39" s="6"/>
    </row>
    <row r="40" spans="1:6" ht="36" customHeight="1">
      <c r="A40" s="12" t="s">
        <v>232</v>
      </c>
      <c r="B40" s="5">
        <v>7</v>
      </c>
      <c r="C40" s="5" t="s">
        <v>1202</v>
      </c>
      <c r="D40" s="5" t="s">
        <v>1203</v>
      </c>
      <c r="E40" s="5">
        <v>7</v>
      </c>
      <c r="F40" s="6"/>
    </row>
    <row r="41" spans="1:6" ht="36" customHeight="1">
      <c r="A41" s="12" t="s">
        <v>238</v>
      </c>
      <c r="B41" s="5">
        <v>1</v>
      </c>
      <c r="C41" s="5" t="s">
        <v>1204</v>
      </c>
      <c r="D41" s="5" t="s">
        <v>1205</v>
      </c>
      <c r="E41" s="5">
        <v>1</v>
      </c>
      <c r="F41" s="6"/>
    </row>
    <row r="42" spans="1:6" ht="36" customHeight="1">
      <c r="A42" s="12" t="s">
        <v>238</v>
      </c>
      <c r="B42" s="5">
        <v>2</v>
      </c>
      <c r="C42" s="5" t="s">
        <v>1206</v>
      </c>
      <c r="D42" s="5" t="s">
        <v>1207</v>
      </c>
      <c r="E42" s="5">
        <v>2</v>
      </c>
      <c r="F42" s="6"/>
    </row>
    <row r="43" spans="1:6" ht="36" customHeight="1">
      <c r="A43" s="12" t="s">
        <v>238</v>
      </c>
      <c r="B43" s="5">
        <v>3</v>
      </c>
      <c r="C43" s="5" t="s">
        <v>1208</v>
      </c>
      <c r="D43" s="5" t="s">
        <v>1209</v>
      </c>
      <c r="E43" s="5">
        <v>3</v>
      </c>
      <c r="F43" s="6"/>
    </row>
    <row r="44" spans="1:6" ht="36" customHeight="1">
      <c r="A44" s="12" t="s">
        <v>238</v>
      </c>
      <c r="B44" s="5">
        <v>4</v>
      </c>
      <c r="C44" s="5" t="s">
        <v>1210</v>
      </c>
      <c r="D44" s="5" t="s">
        <v>1211</v>
      </c>
      <c r="E44" s="5">
        <v>4</v>
      </c>
      <c r="F44" s="6"/>
    </row>
    <row r="45" spans="1:6" ht="36" customHeight="1">
      <c r="A45" s="12" t="s">
        <v>238</v>
      </c>
      <c r="B45" s="5">
        <v>5</v>
      </c>
      <c r="C45" s="5" t="s">
        <v>1212</v>
      </c>
      <c r="D45" s="5" t="s">
        <v>1213</v>
      </c>
      <c r="E45" s="5">
        <v>5</v>
      </c>
      <c r="F45" s="6"/>
    </row>
    <row r="46" spans="1:6" ht="36" customHeight="1">
      <c r="A46" s="12" t="s">
        <v>238</v>
      </c>
      <c r="B46" s="5">
        <v>6</v>
      </c>
      <c r="C46" s="5" t="s">
        <v>1214</v>
      </c>
      <c r="D46" s="5" t="s">
        <v>1215</v>
      </c>
      <c r="E46" s="5">
        <v>6</v>
      </c>
      <c r="F46" s="6"/>
    </row>
    <row r="47" spans="1:6" ht="36" customHeight="1">
      <c r="A47" s="12" t="s">
        <v>238</v>
      </c>
      <c r="B47" s="5">
        <v>7</v>
      </c>
      <c r="C47" s="5" t="s">
        <v>1216</v>
      </c>
      <c r="D47" s="5" t="s">
        <v>1217</v>
      </c>
      <c r="E47" s="5">
        <v>7</v>
      </c>
      <c r="F47" s="6"/>
    </row>
    <row r="48" spans="1:6" ht="36" customHeight="1">
      <c r="A48" s="12" t="s">
        <v>243</v>
      </c>
      <c r="B48" s="5">
        <v>1</v>
      </c>
      <c r="C48" s="5" t="s">
        <v>1218</v>
      </c>
      <c r="D48" s="5" t="s">
        <v>1219</v>
      </c>
      <c r="E48" s="5">
        <v>1</v>
      </c>
      <c r="F48" s="6"/>
    </row>
    <row r="49" spans="1:6" ht="36" customHeight="1">
      <c r="A49" s="12" t="s">
        <v>243</v>
      </c>
      <c r="B49" s="5">
        <v>2</v>
      </c>
      <c r="C49" s="5" t="s">
        <v>1220</v>
      </c>
      <c r="D49" s="5" t="s">
        <v>1221</v>
      </c>
      <c r="E49" s="5">
        <v>2</v>
      </c>
      <c r="F49" s="6"/>
    </row>
    <row r="50" spans="1:6" ht="36" customHeight="1">
      <c r="A50" s="12" t="s">
        <v>243</v>
      </c>
      <c r="B50" s="5">
        <v>3</v>
      </c>
      <c r="C50" s="5" t="s">
        <v>1222</v>
      </c>
      <c r="D50" s="5" t="s">
        <v>1223</v>
      </c>
      <c r="E50" s="5">
        <v>3</v>
      </c>
      <c r="F50" s="6"/>
    </row>
    <row r="51" spans="1:6" ht="36" customHeight="1">
      <c r="A51" s="12" t="s">
        <v>243</v>
      </c>
      <c r="B51" s="5">
        <v>4</v>
      </c>
      <c r="C51" s="5" t="s">
        <v>1224</v>
      </c>
      <c r="D51" s="5" t="s">
        <v>1207</v>
      </c>
      <c r="E51" s="5">
        <v>4</v>
      </c>
      <c r="F51" s="6"/>
    </row>
    <row r="52" spans="1:6" ht="36" customHeight="1">
      <c r="A52" s="12" t="s">
        <v>243</v>
      </c>
      <c r="B52" s="5">
        <v>5</v>
      </c>
      <c r="C52" s="5" t="s">
        <v>1225</v>
      </c>
      <c r="D52" s="5" t="s">
        <v>1226</v>
      </c>
      <c r="E52" s="5">
        <v>5</v>
      </c>
      <c r="F52" s="6"/>
    </row>
    <row r="53" spans="1:6" ht="36" customHeight="1">
      <c r="A53" s="12" t="s">
        <v>243</v>
      </c>
      <c r="B53" s="5">
        <v>6</v>
      </c>
      <c r="C53" s="5" t="s">
        <v>1227</v>
      </c>
      <c r="D53" s="5" t="s">
        <v>1228</v>
      </c>
      <c r="E53" s="5">
        <v>6</v>
      </c>
      <c r="F53" s="6"/>
    </row>
    <row r="54" spans="1:6" ht="36" customHeight="1">
      <c r="A54" s="12" t="s">
        <v>250</v>
      </c>
      <c r="B54" s="5">
        <v>1</v>
      </c>
      <c r="C54" s="5" t="s">
        <v>1229</v>
      </c>
      <c r="D54" s="5" t="s">
        <v>1230</v>
      </c>
      <c r="E54" s="5">
        <v>1</v>
      </c>
      <c r="F54" s="6"/>
    </row>
    <row r="55" spans="1:6" ht="36" customHeight="1">
      <c r="A55" s="12" t="s">
        <v>250</v>
      </c>
      <c r="B55" s="5">
        <v>2</v>
      </c>
      <c r="C55" s="5" t="s">
        <v>1231</v>
      </c>
      <c r="D55" s="5" t="s">
        <v>1232</v>
      </c>
      <c r="E55" s="5">
        <v>2</v>
      </c>
      <c r="F55" s="6"/>
    </row>
    <row r="56" spans="1:6" ht="36" customHeight="1">
      <c r="A56" s="12" t="s">
        <v>250</v>
      </c>
      <c r="B56" s="5">
        <v>3</v>
      </c>
      <c r="C56" s="5" t="s">
        <v>1233</v>
      </c>
      <c r="D56" s="5" t="s">
        <v>1234</v>
      </c>
      <c r="E56" s="5">
        <v>3</v>
      </c>
      <c r="F56" s="6"/>
    </row>
    <row r="57" spans="1:6" ht="36" customHeight="1">
      <c r="A57" s="12" t="s">
        <v>250</v>
      </c>
      <c r="B57" s="5">
        <v>4</v>
      </c>
      <c r="C57" s="5" t="s">
        <v>1235</v>
      </c>
      <c r="D57" s="5" t="s">
        <v>1236</v>
      </c>
      <c r="E57" s="5">
        <v>4</v>
      </c>
      <c r="F57" s="6"/>
    </row>
    <row r="58" spans="1:6" ht="36" customHeight="1">
      <c r="A58" s="12" t="s">
        <v>250</v>
      </c>
      <c r="B58" s="5">
        <v>5</v>
      </c>
      <c r="C58" s="5" t="s">
        <v>1237</v>
      </c>
      <c r="D58" s="5" t="s">
        <v>1238</v>
      </c>
      <c r="E58" s="5">
        <v>9</v>
      </c>
      <c r="F58" s="6"/>
    </row>
    <row r="59" spans="1:6" ht="36" customHeight="1">
      <c r="A59" s="12" t="s">
        <v>255</v>
      </c>
      <c r="B59" s="5">
        <v>1</v>
      </c>
      <c r="C59" s="5" t="s">
        <v>1239</v>
      </c>
      <c r="D59" s="5" t="s">
        <v>1240</v>
      </c>
      <c r="E59" s="5">
        <v>1</v>
      </c>
      <c r="F59" s="6"/>
    </row>
    <row r="60" spans="1:6" ht="36" customHeight="1">
      <c r="A60" s="12" t="s">
        <v>255</v>
      </c>
      <c r="B60" s="5">
        <v>2</v>
      </c>
      <c r="C60" s="5" t="s">
        <v>1241</v>
      </c>
      <c r="D60" s="5" t="s">
        <v>1242</v>
      </c>
      <c r="E60" s="5">
        <v>2</v>
      </c>
      <c r="F60" s="6"/>
    </row>
    <row r="61" spans="1:6" ht="36" customHeight="1">
      <c r="A61" s="12" t="s">
        <v>255</v>
      </c>
      <c r="B61" s="5">
        <v>3</v>
      </c>
      <c r="C61" s="5" t="s">
        <v>1243</v>
      </c>
      <c r="D61" s="5" t="s">
        <v>1165</v>
      </c>
      <c r="E61" s="5">
        <v>3</v>
      </c>
      <c r="F61" s="6"/>
    </row>
    <row r="62" spans="1:6" ht="36" customHeight="1">
      <c r="A62" s="12" t="s">
        <v>255</v>
      </c>
      <c r="B62" s="5">
        <v>4</v>
      </c>
      <c r="C62" s="5" t="s">
        <v>1244</v>
      </c>
      <c r="D62" s="5" t="s">
        <v>1245</v>
      </c>
      <c r="E62" s="5">
        <v>4</v>
      </c>
      <c r="F62" s="6"/>
    </row>
    <row r="63" spans="1:6" ht="36" customHeight="1">
      <c r="A63" s="12" t="s">
        <v>255</v>
      </c>
      <c r="B63" s="5">
        <v>5</v>
      </c>
      <c r="C63" s="5" t="s">
        <v>1246</v>
      </c>
      <c r="D63" s="5" t="s">
        <v>1247</v>
      </c>
      <c r="E63" s="5">
        <v>5</v>
      </c>
      <c r="F63" s="6"/>
    </row>
    <row r="64" spans="1:6" ht="36" customHeight="1">
      <c r="A64" s="12" t="s">
        <v>265</v>
      </c>
      <c r="B64" s="5">
        <v>1</v>
      </c>
      <c r="C64" s="5" t="s">
        <v>1248</v>
      </c>
      <c r="D64" s="5" t="s">
        <v>1249</v>
      </c>
      <c r="E64" s="5">
        <v>1</v>
      </c>
      <c r="F64" s="6"/>
    </row>
    <row r="65" spans="1:6" ht="36" customHeight="1">
      <c r="A65" s="12" t="s">
        <v>265</v>
      </c>
      <c r="B65" s="5">
        <v>2</v>
      </c>
      <c r="C65" s="5" t="s">
        <v>1250</v>
      </c>
      <c r="D65" s="5" t="s">
        <v>1242</v>
      </c>
      <c r="E65" s="5">
        <v>2</v>
      </c>
      <c r="F65" s="6"/>
    </row>
    <row r="66" spans="1:6" ht="36" customHeight="1">
      <c r="A66" s="12" t="s">
        <v>265</v>
      </c>
      <c r="B66" s="5">
        <v>3</v>
      </c>
      <c r="C66" s="5" t="s">
        <v>1243</v>
      </c>
      <c r="D66" s="5" t="s">
        <v>1165</v>
      </c>
      <c r="E66" s="5">
        <v>3</v>
      </c>
      <c r="F66" s="6"/>
    </row>
    <row r="67" spans="1:6" ht="36" customHeight="1">
      <c r="A67" s="12" t="s">
        <v>265</v>
      </c>
      <c r="B67" s="5">
        <v>4</v>
      </c>
      <c r="C67" s="5" t="s">
        <v>1251</v>
      </c>
      <c r="D67" s="5" t="s">
        <v>1252</v>
      </c>
      <c r="E67" s="5">
        <v>4</v>
      </c>
      <c r="F67" s="6"/>
    </row>
    <row r="68" spans="1:6" ht="36" customHeight="1">
      <c r="A68" s="12" t="s">
        <v>265</v>
      </c>
      <c r="B68" s="5">
        <v>5</v>
      </c>
      <c r="C68" s="5" t="s">
        <v>1253</v>
      </c>
      <c r="D68" s="5" t="s">
        <v>1254</v>
      </c>
      <c r="E68" s="5">
        <v>5</v>
      </c>
      <c r="F68" s="6"/>
    </row>
    <row r="69" spans="1:6" ht="36" customHeight="1">
      <c r="A69" s="12" t="s">
        <v>274</v>
      </c>
      <c r="B69" s="5">
        <v>1</v>
      </c>
      <c r="C69" s="5" t="s">
        <v>1255</v>
      </c>
      <c r="D69" s="5" t="s">
        <v>1256</v>
      </c>
      <c r="E69" s="5">
        <v>1</v>
      </c>
      <c r="F69" s="6"/>
    </row>
    <row r="70" spans="1:6" ht="36" customHeight="1">
      <c r="A70" s="12" t="s">
        <v>274</v>
      </c>
      <c r="B70" s="5">
        <v>2</v>
      </c>
      <c r="C70" s="5" t="s">
        <v>1020</v>
      </c>
      <c r="D70" s="5"/>
      <c r="E70" s="5">
        <v>2</v>
      </c>
      <c r="F70" s="6"/>
    </row>
    <row r="71" spans="1:6" ht="36" customHeight="1">
      <c r="A71" s="12" t="s">
        <v>274</v>
      </c>
      <c r="B71" s="5">
        <v>3</v>
      </c>
      <c r="C71" s="5" t="s">
        <v>1100</v>
      </c>
      <c r="D71" s="5"/>
      <c r="E71" s="5">
        <v>3</v>
      </c>
      <c r="F71" s="6"/>
    </row>
    <row r="72" spans="1:6" ht="36" customHeight="1">
      <c r="A72" s="12" t="s">
        <v>274</v>
      </c>
      <c r="B72" s="5">
        <v>4</v>
      </c>
      <c r="C72" s="5" t="s">
        <v>1243</v>
      </c>
      <c r="D72" s="5" t="s">
        <v>1165</v>
      </c>
      <c r="E72" s="5">
        <v>4</v>
      </c>
      <c r="F72" s="6"/>
    </row>
    <row r="73" spans="1:6" ht="36" customHeight="1">
      <c r="A73" s="12" t="s">
        <v>274</v>
      </c>
      <c r="B73" s="5">
        <v>5</v>
      </c>
      <c r="C73" s="5" t="s">
        <v>1104</v>
      </c>
      <c r="D73" s="5"/>
      <c r="E73" s="5">
        <v>5</v>
      </c>
      <c r="F73" s="6"/>
    </row>
    <row r="74" spans="1:6" ht="36" customHeight="1">
      <c r="A74" s="12" t="s">
        <v>274</v>
      </c>
      <c r="B74" s="5">
        <v>6</v>
      </c>
      <c r="C74" s="5" t="s">
        <v>1257</v>
      </c>
      <c r="D74" s="5"/>
      <c r="E74" s="5">
        <v>6</v>
      </c>
      <c r="F74" s="6"/>
    </row>
    <row r="75" spans="1:6" ht="36" customHeight="1">
      <c r="A75" s="12" t="s">
        <v>274</v>
      </c>
      <c r="B75" s="5">
        <v>7</v>
      </c>
      <c r="C75" s="5" t="s">
        <v>1258</v>
      </c>
      <c r="D75" s="5" t="s">
        <v>1259</v>
      </c>
      <c r="E75" s="5">
        <v>7</v>
      </c>
      <c r="F75" s="6"/>
    </row>
    <row r="76" spans="1:6" ht="36" customHeight="1">
      <c r="A76" s="12" t="s">
        <v>284</v>
      </c>
      <c r="B76" s="5">
        <v>1</v>
      </c>
      <c r="C76" s="5" t="s">
        <v>1260</v>
      </c>
      <c r="D76" s="5" t="s">
        <v>1261</v>
      </c>
      <c r="E76" s="5">
        <v>1</v>
      </c>
      <c r="F76" s="6"/>
    </row>
    <row r="77" spans="1:6" ht="36" customHeight="1">
      <c r="A77" s="12" t="s">
        <v>284</v>
      </c>
      <c r="B77" s="5">
        <v>2</v>
      </c>
      <c r="C77" s="5" t="s">
        <v>1262</v>
      </c>
      <c r="D77" s="5" t="s">
        <v>1263</v>
      </c>
      <c r="E77" s="5">
        <v>2</v>
      </c>
      <c r="F77" s="6"/>
    </row>
    <row r="78" spans="1:6" ht="36" customHeight="1">
      <c r="A78" s="12" t="s">
        <v>284</v>
      </c>
      <c r="B78" s="5">
        <v>3</v>
      </c>
      <c r="C78" s="5" t="s">
        <v>1243</v>
      </c>
      <c r="D78" s="5" t="s">
        <v>1165</v>
      </c>
      <c r="E78" s="5">
        <v>3</v>
      </c>
      <c r="F78" s="6"/>
    </row>
    <row r="79" spans="1:6" ht="36" customHeight="1">
      <c r="A79" s="12" t="s">
        <v>284</v>
      </c>
      <c r="B79" s="5">
        <v>4</v>
      </c>
      <c r="C79" s="5" t="s">
        <v>1264</v>
      </c>
      <c r="D79" s="5" t="s">
        <v>1265</v>
      </c>
      <c r="E79" s="5">
        <v>4</v>
      </c>
      <c r="F79" s="6"/>
    </row>
    <row r="80" spans="1:6" ht="36" customHeight="1">
      <c r="A80" s="12" t="s">
        <v>284</v>
      </c>
      <c r="B80" s="5">
        <v>5</v>
      </c>
      <c r="C80" s="5" t="s">
        <v>1266</v>
      </c>
      <c r="D80" s="5" t="s">
        <v>1267</v>
      </c>
      <c r="E80" s="5">
        <v>5</v>
      </c>
      <c r="F80" s="6"/>
    </row>
    <row r="81" spans="1:6" ht="36" customHeight="1">
      <c r="A81" s="12" t="s">
        <v>1268</v>
      </c>
      <c r="B81" s="5">
        <v>1</v>
      </c>
      <c r="C81" s="5" t="s">
        <v>1269</v>
      </c>
      <c r="D81" s="5" t="s">
        <v>1270</v>
      </c>
      <c r="E81" s="5">
        <v>3</v>
      </c>
      <c r="F81" s="6" t="s">
        <v>1271</v>
      </c>
    </row>
    <row r="82" spans="1:6" ht="36" customHeight="1">
      <c r="A82" s="12" t="s">
        <v>1268</v>
      </c>
      <c r="B82" s="5">
        <v>2</v>
      </c>
      <c r="C82" s="5" t="s">
        <v>1272</v>
      </c>
      <c r="D82" s="5" t="s">
        <v>1273</v>
      </c>
      <c r="E82" s="5">
        <v>5</v>
      </c>
      <c r="F82" s="6"/>
    </row>
    <row r="83" spans="1:6" ht="36" customHeight="1">
      <c r="A83" s="12" t="s">
        <v>1268</v>
      </c>
      <c r="B83" s="5">
        <v>3</v>
      </c>
      <c r="C83" s="5" t="s">
        <v>1274</v>
      </c>
      <c r="D83" s="5" t="s">
        <v>1275</v>
      </c>
      <c r="E83" s="5">
        <v>10</v>
      </c>
      <c r="F83" s="6"/>
    </row>
    <row r="84" spans="1:6" ht="36" customHeight="1">
      <c r="A84" s="12" t="s">
        <v>305</v>
      </c>
      <c r="B84" s="5">
        <v>1</v>
      </c>
      <c r="C84" s="5" t="s">
        <v>1276</v>
      </c>
      <c r="D84" s="5" t="s">
        <v>1144</v>
      </c>
      <c r="E84" s="5">
        <v>0</v>
      </c>
      <c r="F84" s="6" t="s">
        <v>1277</v>
      </c>
    </row>
    <row r="85" spans="1:6" ht="36" customHeight="1">
      <c r="A85" s="12" t="s">
        <v>305</v>
      </c>
      <c r="B85" s="5">
        <v>2</v>
      </c>
      <c r="C85" s="5" t="s">
        <v>1278</v>
      </c>
      <c r="D85" s="5" t="s">
        <v>1147</v>
      </c>
      <c r="E85" s="5">
        <v>1</v>
      </c>
      <c r="F85" s="6"/>
    </row>
    <row r="86" spans="1:6" ht="36" customHeight="1">
      <c r="A86" s="12" t="s">
        <v>305</v>
      </c>
      <c r="B86" s="5">
        <v>3</v>
      </c>
      <c r="C86" s="5" t="s">
        <v>1148</v>
      </c>
      <c r="D86" s="5" t="s">
        <v>1138</v>
      </c>
      <c r="E86" s="5">
        <v>9</v>
      </c>
      <c r="F86" s="6"/>
    </row>
    <row r="87" spans="1:6" ht="36" customHeight="1">
      <c r="A87" s="12" t="s">
        <v>356</v>
      </c>
      <c r="B87" s="5">
        <v>1</v>
      </c>
      <c r="C87" s="5" t="s">
        <v>1279</v>
      </c>
      <c r="D87" s="5" t="s">
        <v>1280</v>
      </c>
      <c r="E87" s="5">
        <v>1</v>
      </c>
      <c r="F87" s="6" t="s">
        <v>1281</v>
      </c>
    </row>
    <row r="88" spans="1:6" ht="36" customHeight="1">
      <c r="A88" s="12" t="s">
        <v>356</v>
      </c>
      <c r="B88" s="5">
        <v>2</v>
      </c>
      <c r="C88" s="5" t="s">
        <v>1282</v>
      </c>
      <c r="D88" s="5" t="s">
        <v>1283</v>
      </c>
      <c r="E88" s="5">
        <v>2</v>
      </c>
      <c r="F88" s="6"/>
    </row>
    <row r="89" spans="1:6" ht="36" customHeight="1">
      <c r="A89" s="12" t="s">
        <v>356</v>
      </c>
      <c r="B89" s="5">
        <v>3</v>
      </c>
      <c r="C89" s="5" t="s">
        <v>1284</v>
      </c>
      <c r="D89" s="5" t="s">
        <v>1285</v>
      </c>
      <c r="E89" s="5">
        <v>3</v>
      </c>
      <c r="F89" s="6"/>
    </row>
    <row r="90" spans="1:6" ht="36" customHeight="1">
      <c r="A90" s="12" t="s">
        <v>356</v>
      </c>
      <c r="B90" s="5">
        <v>4</v>
      </c>
      <c r="C90" s="5" t="s">
        <v>1286</v>
      </c>
      <c r="D90" s="5" t="s">
        <v>1287</v>
      </c>
      <c r="E90" s="5">
        <v>4</v>
      </c>
      <c r="F90" s="6"/>
    </row>
    <row r="91" spans="1:6" ht="36" customHeight="1">
      <c r="A91" s="12" t="s">
        <v>356</v>
      </c>
      <c r="B91" s="5">
        <v>5</v>
      </c>
      <c r="C91" s="5" t="s">
        <v>1288</v>
      </c>
      <c r="D91" s="5" t="s">
        <v>1289</v>
      </c>
      <c r="E91" s="5">
        <v>5</v>
      </c>
      <c r="F91" s="6"/>
    </row>
    <row r="92" spans="1:6" ht="36" customHeight="1">
      <c r="A92" s="12" t="s">
        <v>356</v>
      </c>
      <c r="B92" s="5">
        <v>6</v>
      </c>
      <c r="C92" s="5" t="s">
        <v>1290</v>
      </c>
      <c r="D92" s="5" t="s">
        <v>1291</v>
      </c>
      <c r="E92" s="5">
        <v>6</v>
      </c>
      <c r="F92" s="6"/>
    </row>
    <row r="93" spans="1:6" ht="36" customHeight="1">
      <c r="A93" s="12" t="s">
        <v>356</v>
      </c>
      <c r="B93" s="5">
        <v>7</v>
      </c>
      <c r="C93" s="5" t="s">
        <v>1292</v>
      </c>
      <c r="D93" s="5" t="s">
        <v>1293</v>
      </c>
      <c r="E93" s="5">
        <v>7</v>
      </c>
      <c r="F93" s="6"/>
    </row>
    <row r="94" spans="1:6" ht="36" customHeight="1">
      <c r="A94" s="12" t="s">
        <v>356</v>
      </c>
      <c r="B94" s="5">
        <v>8</v>
      </c>
      <c r="C94" s="5" t="s">
        <v>1294</v>
      </c>
      <c r="D94" s="5" t="s">
        <v>1295</v>
      </c>
      <c r="E94" s="5">
        <v>8</v>
      </c>
      <c r="F94" s="6"/>
    </row>
    <row r="95" spans="1:6" ht="36" customHeight="1">
      <c r="A95" s="12" t="s">
        <v>364</v>
      </c>
      <c r="B95" s="5">
        <v>1</v>
      </c>
      <c r="C95" s="5" t="s">
        <v>1296</v>
      </c>
      <c r="D95" s="5" t="s">
        <v>1297</v>
      </c>
      <c r="E95" s="5">
        <v>1</v>
      </c>
      <c r="F95" s="6"/>
    </row>
    <row r="96" spans="1:6" ht="36" customHeight="1">
      <c r="A96" s="12" t="s">
        <v>364</v>
      </c>
      <c r="B96" s="5">
        <v>2</v>
      </c>
      <c r="C96" s="5" t="s">
        <v>1298</v>
      </c>
      <c r="D96" s="5" t="s">
        <v>1299</v>
      </c>
      <c r="E96" s="5">
        <v>2</v>
      </c>
      <c r="F96" s="6"/>
    </row>
    <row r="97" spans="1:6" ht="36" customHeight="1">
      <c r="A97" s="12" t="s">
        <v>364</v>
      </c>
      <c r="B97" s="5">
        <v>3</v>
      </c>
      <c r="C97" s="5" t="s">
        <v>1300</v>
      </c>
      <c r="D97" s="5" t="s">
        <v>1301</v>
      </c>
      <c r="E97" s="5">
        <v>3</v>
      </c>
      <c r="F97" s="6"/>
    </row>
    <row r="98" spans="1:6" ht="36" customHeight="1">
      <c r="A98" s="12" t="s">
        <v>364</v>
      </c>
      <c r="B98" s="5">
        <v>4</v>
      </c>
      <c r="C98" s="5" t="s">
        <v>1302</v>
      </c>
      <c r="D98" s="5" t="s">
        <v>1303</v>
      </c>
      <c r="E98" s="5">
        <v>4</v>
      </c>
      <c r="F98" s="6"/>
    </row>
    <row r="99" spans="1:6" ht="36" customHeight="1">
      <c r="A99" s="12" t="s">
        <v>364</v>
      </c>
      <c r="B99" s="5">
        <v>5</v>
      </c>
      <c r="C99" s="5" t="s">
        <v>1304</v>
      </c>
      <c r="D99" s="5" t="s">
        <v>1305</v>
      </c>
      <c r="E99" s="5">
        <v>5</v>
      </c>
      <c r="F99" s="6"/>
    </row>
    <row r="100" spans="1:6" ht="36" customHeight="1">
      <c r="A100" s="12" t="s">
        <v>364</v>
      </c>
      <c r="B100" s="5">
        <v>6</v>
      </c>
      <c r="C100" s="5" t="s">
        <v>1306</v>
      </c>
      <c r="D100" s="5" t="s">
        <v>1307</v>
      </c>
      <c r="E100" s="5">
        <v>6</v>
      </c>
      <c r="F100" s="6"/>
    </row>
    <row r="101" spans="1:6" ht="36" customHeight="1">
      <c r="A101" s="12" t="s">
        <v>364</v>
      </c>
      <c r="B101" s="5">
        <v>7</v>
      </c>
      <c r="C101" s="5" t="s">
        <v>1294</v>
      </c>
      <c r="D101" s="5" t="s">
        <v>1295</v>
      </c>
      <c r="E101" s="5">
        <v>7</v>
      </c>
      <c r="F101" s="6"/>
    </row>
    <row r="102" spans="1:6" ht="36" customHeight="1">
      <c r="A102" s="12" t="s">
        <v>371</v>
      </c>
      <c r="B102" s="5">
        <v>1</v>
      </c>
      <c r="C102" s="5" t="s">
        <v>1308</v>
      </c>
      <c r="D102" s="5" t="s">
        <v>1150</v>
      </c>
      <c r="E102" s="5">
        <v>1</v>
      </c>
      <c r="F102" s="6"/>
    </row>
    <row r="103" spans="1:6" ht="36" customHeight="1">
      <c r="A103" s="12" t="s">
        <v>371</v>
      </c>
      <c r="B103" s="5">
        <v>2</v>
      </c>
      <c r="C103" s="5" t="s">
        <v>1309</v>
      </c>
      <c r="D103" s="5" t="s">
        <v>1310</v>
      </c>
      <c r="E103" s="5">
        <v>2</v>
      </c>
      <c r="F103" s="6"/>
    </row>
    <row r="104" spans="1:6" ht="36" customHeight="1">
      <c r="A104" s="12" t="s">
        <v>371</v>
      </c>
      <c r="B104" s="5">
        <v>3</v>
      </c>
      <c r="C104" s="5" t="s">
        <v>1311</v>
      </c>
      <c r="D104" s="5" t="s">
        <v>1312</v>
      </c>
      <c r="E104" s="5">
        <v>3</v>
      </c>
      <c r="F104" s="6"/>
    </row>
    <row r="105" spans="1:6" ht="36" customHeight="1">
      <c r="A105" s="12" t="s">
        <v>371</v>
      </c>
      <c r="B105" s="5">
        <v>4</v>
      </c>
      <c r="C105" s="5" t="s">
        <v>1194</v>
      </c>
      <c r="D105" s="5" t="s">
        <v>1195</v>
      </c>
      <c r="E105" s="5">
        <v>4</v>
      </c>
      <c r="F105" s="6"/>
    </row>
    <row r="106" spans="1:6" ht="36" customHeight="1">
      <c r="A106" s="12" t="s">
        <v>371</v>
      </c>
      <c r="B106" s="5">
        <v>5</v>
      </c>
      <c r="C106" s="5" t="s">
        <v>1313</v>
      </c>
      <c r="D106" s="5" t="s">
        <v>1314</v>
      </c>
      <c r="E106" s="5">
        <v>5</v>
      </c>
      <c r="F106" s="6"/>
    </row>
    <row r="107" spans="1:6" ht="36" customHeight="1">
      <c r="A107" s="12" t="s">
        <v>371</v>
      </c>
      <c r="B107" s="5">
        <v>6</v>
      </c>
      <c r="C107" s="5" t="s">
        <v>1315</v>
      </c>
      <c r="D107" s="5" t="s">
        <v>1316</v>
      </c>
      <c r="E107" s="5">
        <v>6</v>
      </c>
      <c r="F107" s="6"/>
    </row>
    <row r="108" spans="1:6" ht="36" customHeight="1">
      <c r="A108" s="12" t="s">
        <v>371</v>
      </c>
      <c r="B108" s="5">
        <v>7</v>
      </c>
      <c r="C108" s="5" t="s">
        <v>1202</v>
      </c>
      <c r="D108" s="5" t="s">
        <v>1203</v>
      </c>
      <c r="E108" s="5">
        <v>7</v>
      </c>
      <c r="F108" s="6"/>
    </row>
    <row r="109" spans="1:6" ht="36" customHeight="1">
      <c r="A109" s="12" t="s">
        <v>377</v>
      </c>
      <c r="B109" s="5">
        <v>1</v>
      </c>
      <c r="C109" s="5" t="s">
        <v>1317</v>
      </c>
      <c r="D109" s="5" t="s">
        <v>1240</v>
      </c>
      <c r="E109" s="5">
        <v>1</v>
      </c>
      <c r="F109" s="6"/>
    </row>
    <row r="110" spans="1:6" ht="36" customHeight="1">
      <c r="A110" s="12" t="s">
        <v>377</v>
      </c>
      <c r="B110" s="5">
        <v>2</v>
      </c>
      <c r="C110" s="5" t="s">
        <v>1020</v>
      </c>
      <c r="D110" s="5"/>
      <c r="E110" s="5">
        <v>2</v>
      </c>
      <c r="F110" s="6"/>
    </row>
    <row r="111" spans="1:6" ht="36" customHeight="1">
      <c r="A111" s="12" t="s">
        <v>377</v>
      </c>
      <c r="B111" s="5">
        <v>3</v>
      </c>
      <c r="C111" s="5" t="s">
        <v>1100</v>
      </c>
      <c r="D111" s="5"/>
      <c r="E111" s="5">
        <v>3</v>
      </c>
      <c r="F111" s="6"/>
    </row>
    <row r="112" spans="1:6" ht="36" customHeight="1">
      <c r="A112" s="12" t="s">
        <v>377</v>
      </c>
      <c r="B112" s="5">
        <v>4</v>
      </c>
      <c r="C112" s="5" t="s">
        <v>1318</v>
      </c>
      <c r="D112" s="5" t="s">
        <v>1245</v>
      </c>
      <c r="E112" s="5">
        <v>4</v>
      </c>
      <c r="F112" s="6"/>
    </row>
    <row r="113" spans="1:6" ht="36" customHeight="1">
      <c r="A113" s="12" t="s">
        <v>377</v>
      </c>
      <c r="B113" s="5">
        <v>5</v>
      </c>
      <c r="C113" s="5" t="s">
        <v>1104</v>
      </c>
      <c r="D113" s="5"/>
      <c r="E113" s="5">
        <v>5</v>
      </c>
      <c r="F113" s="6"/>
    </row>
    <row r="114" spans="1:6" ht="36" customHeight="1">
      <c r="A114" s="12" t="s">
        <v>377</v>
      </c>
      <c r="B114" s="5">
        <v>6</v>
      </c>
      <c r="C114" s="5" t="s">
        <v>1257</v>
      </c>
      <c r="D114" s="5"/>
      <c r="E114" s="5">
        <v>6</v>
      </c>
      <c r="F114" s="6"/>
    </row>
    <row r="115" spans="1:6" ht="36" customHeight="1">
      <c r="A115" s="12" t="s">
        <v>377</v>
      </c>
      <c r="B115" s="5">
        <v>7</v>
      </c>
      <c r="C115" s="5" t="s">
        <v>1319</v>
      </c>
      <c r="D115" s="5" t="s">
        <v>1320</v>
      </c>
      <c r="E115" s="5">
        <v>7</v>
      </c>
      <c r="F115" s="6"/>
    </row>
    <row r="116" spans="1:6" ht="36" customHeight="1">
      <c r="A116" s="12" t="s">
        <v>382</v>
      </c>
      <c r="B116" s="5">
        <v>1</v>
      </c>
      <c r="C116" s="5" t="s">
        <v>1321</v>
      </c>
      <c r="D116" s="5" t="s">
        <v>1322</v>
      </c>
      <c r="E116" s="5">
        <v>1</v>
      </c>
      <c r="F116" s="6"/>
    </row>
    <row r="117" spans="1:6" ht="36" customHeight="1">
      <c r="A117" s="12" t="s">
        <v>382</v>
      </c>
      <c r="B117" s="5">
        <v>2</v>
      </c>
      <c r="C117" s="5" t="s">
        <v>1020</v>
      </c>
      <c r="D117" s="5"/>
      <c r="E117" s="5">
        <v>2</v>
      </c>
      <c r="F117" s="6"/>
    </row>
    <row r="118" spans="1:6" ht="36" customHeight="1">
      <c r="A118" s="12" t="s">
        <v>382</v>
      </c>
      <c r="B118" s="5">
        <v>3</v>
      </c>
      <c r="C118" s="5" t="s">
        <v>1100</v>
      </c>
      <c r="D118" s="5"/>
      <c r="E118" s="5">
        <v>3</v>
      </c>
      <c r="F118" s="6"/>
    </row>
    <row r="119" spans="1:6" ht="36" customHeight="1">
      <c r="A119" s="12" t="s">
        <v>382</v>
      </c>
      <c r="B119" s="5">
        <v>4</v>
      </c>
      <c r="C119" s="5" t="s">
        <v>1243</v>
      </c>
      <c r="D119" s="5" t="s">
        <v>1165</v>
      </c>
      <c r="E119" s="5">
        <v>4</v>
      </c>
      <c r="F119" s="6"/>
    </row>
    <row r="120" spans="1:6" ht="36" customHeight="1">
      <c r="A120" s="12" t="s">
        <v>382</v>
      </c>
      <c r="B120" s="5">
        <v>5</v>
      </c>
      <c r="C120" s="5" t="s">
        <v>1104</v>
      </c>
      <c r="D120" s="5"/>
      <c r="E120" s="5">
        <v>5</v>
      </c>
      <c r="F120" s="6"/>
    </row>
    <row r="121" spans="1:6" ht="36" customHeight="1">
      <c r="A121" s="12" t="s">
        <v>382</v>
      </c>
      <c r="B121" s="5">
        <v>6</v>
      </c>
      <c r="C121" s="5" t="s">
        <v>1257</v>
      </c>
      <c r="D121" s="5"/>
      <c r="E121" s="5">
        <v>6</v>
      </c>
      <c r="F121" s="6"/>
    </row>
    <row r="122" spans="1:6" ht="36" customHeight="1">
      <c r="A122" s="12" t="s">
        <v>382</v>
      </c>
      <c r="B122" s="5">
        <v>7</v>
      </c>
      <c r="C122" s="5" t="s">
        <v>1323</v>
      </c>
      <c r="D122" s="5" t="s">
        <v>1324</v>
      </c>
      <c r="E122" s="5">
        <v>7</v>
      </c>
      <c r="F122" s="6"/>
    </row>
    <row r="123" spans="1:6" ht="36" customHeight="1">
      <c r="A123" s="12" t="s">
        <v>387</v>
      </c>
      <c r="B123" s="5">
        <v>1</v>
      </c>
      <c r="C123" s="5" t="s">
        <v>1325</v>
      </c>
      <c r="D123" s="5" t="s">
        <v>1326</v>
      </c>
      <c r="E123" s="5">
        <v>1</v>
      </c>
      <c r="F123" s="6"/>
    </row>
    <row r="124" spans="1:6" ht="36" customHeight="1">
      <c r="A124" s="12" t="s">
        <v>387</v>
      </c>
      <c r="B124" s="5">
        <v>2</v>
      </c>
      <c r="C124" s="5" t="s">
        <v>1020</v>
      </c>
      <c r="D124" s="5"/>
      <c r="E124" s="5">
        <v>2</v>
      </c>
      <c r="F124" s="6"/>
    </row>
    <row r="125" spans="1:6" ht="36" customHeight="1">
      <c r="A125" s="12" t="s">
        <v>387</v>
      </c>
      <c r="B125" s="5">
        <v>3</v>
      </c>
      <c r="C125" s="5" t="s">
        <v>1100</v>
      </c>
      <c r="D125" s="5"/>
      <c r="E125" s="5">
        <v>3</v>
      </c>
      <c r="F125" s="6"/>
    </row>
    <row r="126" spans="1:6" ht="36" customHeight="1">
      <c r="A126" s="12" t="s">
        <v>387</v>
      </c>
      <c r="B126" s="5">
        <v>4</v>
      </c>
      <c r="C126" s="5" t="s">
        <v>1318</v>
      </c>
      <c r="D126" s="5" t="s">
        <v>1297</v>
      </c>
      <c r="E126" s="5">
        <v>4</v>
      </c>
      <c r="F126" s="6"/>
    </row>
    <row r="127" spans="1:6" ht="36" customHeight="1">
      <c r="A127" s="12" t="s">
        <v>387</v>
      </c>
      <c r="B127" s="5">
        <v>5</v>
      </c>
      <c r="C127" s="5" t="s">
        <v>1104</v>
      </c>
      <c r="D127" s="5"/>
      <c r="E127" s="5">
        <v>5</v>
      </c>
      <c r="F127" s="6"/>
    </row>
    <row r="128" spans="1:6" ht="36" customHeight="1">
      <c r="A128" s="12" t="s">
        <v>387</v>
      </c>
      <c r="B128" s="5">
        <v>6</v>
      </c>
      <c r="C128" s="5" t="s">
        <v>1257</v>
      </c>
      <c r="D128" s="5"/>
      <c r="E128" s="5">
        <v>6</v>
      </c>
      <c r="F128" s="6"/>
    </row>
    <row r="129" spans="1:6" ht="36" customHeight="1">
      <c r="A129" s="12" t="s">
        <v>387</v>
      </c>
      <c r="B129" s="5">
        <v>7</v>
      </c>
      <c r="C129" s="5" t="s">
        <v>1327</v>
      </c>
      <c r="D129" s="5" t="s">
        <v>1328</v>
      </c>
      <c r="E129" s="5">
        <v>7</v>
      </c>
      <c r="F129" s="6"/>
    </row>
    <row r="130" spans="1:6" ht="36" customHeight="1">
      <c r="A130" s="12" t="s">
        <v>393</v>
      </c>
      <c r="B130" s="5">
        <v>1</v>
      </c>
      <c r="C130" s="5" t="s">
        <v>1329</v>
      </c>
      <c r="D130" s="5" t="s">
        <v>1330</v>
      </c>
      <c r="E130" s="5">
        <v>1</v>
      </c>
      <c r="F130" s="6"/>
    </row>
    <row r="131" spans="1:6" ht="36" customHeight="1">
      <c r="A131" s="12" t="s">
        <v>393</v>
      </c>
      <c r="B131" s="5">
        <v>2</v>
      </c>
      <c r="C131" s="5" t="s">
        <v>1020</v>
      </c>
      <c r="D131" s="5"/>
      <c r="E131" s="5">
        <v>2</v>
      </c>
      <c r="F131" s="6"/>
    </row>
    <row r="132" spans="1:6" ht="36" customHeight="1">
      <c r="A132" s="12" t="s">
        <v>393</v>
      </c>
      <c r="B132" s="5">
        <v>3</v>
      </c>
      <c r="C132" s="5" t="s">
        <v>1100</v>
      </c>
      <c r="D132" s="5"/>
      <c r="E132" s="5">
        <v>3</v>
      </c>
      <c r="F132" s="6"/>
    </row>
    <row r="133" spans="1:6" ht="36" customHeight="1">
      <c r="A133" s="12" t="s">
        <v>393</v>
      </c>
      <c r="B133" s="5">
        <v>4</v>
      </c>
      <c r="C133" s="5" t="s">
        <v>1243</v>
      </c>
      <c r="D133" s="5" t="s">
        <v>1165</v>
      </c>
      <c r="E133" s="5">
        <v>4</v>
      </c>
      <c r="F133" s="6"/>
    </row>
    <row r="134" spans="1:6" ht="36" customHeight="1">
      <c r="A134" s="12" t="s">
        <v>393</v>
      </c>
      <c r="B134" s="5">
        <v>5</v>
      </c>
      <c r="C134" s="5" t="s">
        <v>1104</v>
      </c>
      <c r="D134" s="5"/>
      <c r="E134" s="5">
        <v>5</v>
      </c>
      <c r="F134" s="6"/>
    </row>
    <row r="135" spans="1:6" ht="36" customHeight="1">
      <c r="A135" s="12" t="s">
        <v>393</v>
      </c>
      <c r="B135" s="5">
        <v>6</v>
      </c>
      <c r="C135" s="5" t="s">
        <v>1257</v>
      </c>
      <c r="D135" s="5"/>
      <c r="E135" s="5">
        <v>6</v>
      </c>
      <c r="F135" s="6"/>
    </row>
    <row r="136" spans="1:6" ht="36" customHeight="1">
      <c r="A136" s="12" t="s">
        <v>393</v>
      </c>
      <c r="B136" s="5">
        <v>7</v>
      </c>
      <c r="C136" s="5" t="s">
        <v>1331</v>
      </c>
      <c r="D136" s="5" t="s">
        <v>1332</v>
      </c>
      <c r="E136" s="5">
        <v>7</v>
      </c>
      <c r="F136" s="6"/>
    </row>
    <row r="137" spans="1:6" ht="36" customHeight="1">
      <c r="A137" s="12" t="s">
        <v>418</v>
      </c>
      <c r="B137" s="5">
        <v>1</v>
      </c>
      <c r="C137" s="5" t="s">
        <v>1333</v>
      </c>
      <c r="D137" s="5" t="s">
        <v>1334</v>
      </c>
      <c r="E137" s="5">
        <v>1</v>
      </c>
      <c r="F137" s="6"/>
    </row>
    <row r="138" spans="1:6" ht="36" customHeight="1">
      <c r="A138" s="12" t="s">
        <v>418</v>
      </c>
      <c r="B138" s="5">
        <v>2</v>
      </c>
      <c r="C138" s="5" t="s">
        <v>1335</v>
      </c>
      <c r="D138" s="5" t="s">
        <v>1336</v>
      </c>
      <c r="E138" s="5">
        <v>2</v>
      </c>
      <c r="F138" s="6"/>
    </row>
    <row r="139" spans="1:6" ht="36" customHeight="1">
      <c r="A139" s="12" t="s">
        <v>418</v>
      </c>
      <c r="B139" s="5">
        <v>3</v>
      </c>
      <c r="C139" s="5" t="s">
        <v>1337</v>
      </c>
      <c r="D139" s="5" t="s">
        <v>1338</v>
      </c>
      <c r="E139" s="5">
        <v>3</v>
      </c>
      <c r="F139" s="6"/>
    </row>
    <row r="140" spans="1:6" ht="36" customHeight="1">
      <c r="A140" s="12" t="s">
        <v>418</v>
      </c>
      <c r="B140" s="5">
        <v>4</v>
      </c>
      <c r="C140" s="5" t="s">
        <v>1339</v>
      </c>
      <c r="D140" s="5" t="s">
        <v>1340</v>
      </c>
      <c r="E140" s="5">
        <v>9</v>
      </c>
      <c r="F140" s="6"/>
    </row>
    <row r="141" spans="1:6" ht="36" customHeight="1">
      <c r="A141" s="12" t="s">
        <v>418</v>
      </c>
      <c r="B141" s="5">
        <v>5</v>
      </c>
      <c r="C141" s="5" t="s">
        <v>335</v>
      </c>
      <c r="D141" s="5" t="s">
        <v>1341</v>
      </c>
      <c r="E141" s="5">
        <v>8</v>
      </c>
      <c r="F141" s="6"/>
    </row>
    <row r="142" spans="1:6" ht="36" customHeight="1">
      <c r="A142" s="12" t="s">
        <v>423</v>
      </c>
      <c r="B142" s="5">
        <v>1</v>
      </c>
      <c r="C142" s="5" t="s">
        <v>1342</v>
      </c>
      <c r="D142" s="5" t="s">
        <v>1343</v>
      </c>
      <c r="E142" s="5">
        <v>1</v>
      </c>
      <c r="F142" s="6"/>
    </row>
    <row r="143" spans="1:6" ht="36" customHeight="1">
      <c r="A143" s="12" t="s">
        <v>423</v>
      </c>
      <c r="B143" s="5">
        <v>2</v>
      </c>
      <c r="C143" s="5" t="s">
        <v>1344</v>
      </c>
      <c r="D143" s="5" t="s">
        <v>1345</v>
      </c>
      <c r="E143" s="5">
        <v>2</v>
      </c>
      <c r="F143" s="6"/>
    </row>
    <row r="144" spans="1:6" ht="36" customHeight="1">
      <c r="A144" s="12" t="s">
        <v>423</v>
      </c>
      <c r="B144" s="5">
        <v>3</v>
      </c>
      <c r="C144" s="5" t="s">
        <v>1346</v>
      </c>
      <c r="D144" s="5" t="s">
        <v>1347</v>
      </c>
      <c r="E144" s="5">
        <v>3</v>
      </c>
      <c r="F144" s="6"/>
    </row>
    <row r="145" spans="1:6" ht="36" customHeight="1">
      <c r="A145" s="12" t="s">
        <v>423</v>
      </c>
      <c r="B145" s="5">
        <v>4</v>
      </c>
      <c r="C145" s="5" t="s">
        <v>1348</v>
      </c>
      <c r="D145" s="5" t="s">
        <v>1349</v>
      </c>
      <c r="E145" s="5">
        <v>4</v>
      </c>
      <c r="F145" s="6"/>
    </row>
    <row r="146" spans="1:6" ht="36" customHeight="1">
      <c r="A146" s="12" t="s">
        <v>423</v>
      </c>
      <c r="B146" s="5">
        <v>5</v>
      </c>
      <c r="C146" s="5" t="s">
        <v>1350</v>
      </c>
      <c r="D146" s="5" t="s">
        <v>1351</v>
      </c>
      <c r="E146" s="5">
        <v>5</v>
      </c>
      <c r="F146" s="6"/>
    </row>
    <row r="147" spans="1:6" ht="36" customHeight="1">
      <c r="A147" s="12" t="s">
        <v>423</v>
      </c>
      <c r="B147" s="5">
        <v>6</v>
      </c>
      <c r="C147" s="5" t="s">
        <v>1352</v>
      </c>
      <c r="D147" s="5" t="s">
        <v>1353</v>
      </c>
      <c r="E147" s="5">
        <v>6</v>
      </c>
      <c r="F147" s="6"/>
    </row>
    <row r="148" spans="1:6" ht="36" customHeight="1">
      <c r="A148" s="12" t="s">
        <v>423</v>
      </c>
      <c r="B148" s="5">
        <v>7</v>
      </c>
      <c r="C148" s="5" t="s">
        <v>1354</v>
      </c>
      <c r="D148" s="5" t="s">
        <v>1295</v>
      </c>
      <c r="E148" s="5">
        <v>9</v>
      </c>
      <c r="F148" s="6"/>
    </row>
    <row r="149" spans="1:6" ht="36" customHeight="1">
      <c r="A149" s="12" t="s">
        <v>428</v>
      </c>
      <c r="B149" s="5">
        <v>1</v>
      </c>
      <c r="C149" s="5" t="s">
        <v>1355</v>
      </c>
      <c r="D149" s="5" t="s">
        <v>1356</v>
      </c>
      <c r="E149" s="5">
        <v>1</v>
      </c>
      <c r="F149" s="6"/>
    </row>
    <row r="150" spans="1:6" ht="36" customHeight="1">
      <c r="A150" s="12" t="s">
        <v>428</v>
      </c>
      <c r="B150" s="5">
        <v>2</v>
      </c>
      <c r="C150" s="5" t="s">
        <v>1357</v>
      </c>
      <c r="D150" s="5" t="s">
        <v>1358</v>
      </c>
      <c r="E150" s="5">
        <v>2</v>
      </c>
      <c r="F150" s="6"/>
    </row>
    <row r="151" spans="1:6" ht="36" customHeight="1">
      <c r="A151" s="12" t="s">
        <v>428</v>
      </c>
      <c r="B151" s="5">
        <v>3</v>
      </c>
      <c r="C151" s="5" t="s">
        <v>1359</v>
      </c>
      <c r="D151" s="5" t="s">
        <v>1360</v>
      </c>
      <c r="E151" s="5">
        <v>3</v>
      </c>
      <c r="F151" s="6"/>
    </row>
    <row r="152" spans="1:6" ht="36" customHeight="1">
      <c r="A152" s="12" t="s">
        <v>428</v>
      </c>
      <c r="B152" s="5">
        <v>4</v>
      </c>
      <c r="C152" s="5" t="s">
        <v>1361</v>
      </c>
      <c r="D152" s="5" t="s">
        <v>1362</v>
      </c>
      <c r="E152" s="5">
        <v>4</v>
      </c>
      <c r="F152" s="6"/>
    </row>
    <row r="153" spans="1:6" ht="36" customHeight="1">
      <c r="A153" s="12" t="s">
        <v>428</v>
      </c>
      <c r="B153" s="5">
        <v>5</v>
      </c>
      <c r="C153" s="5" t="s">
        <v>1363</v>
      </c>
      <c r="D153" s="5" t="s">
        <v>1364</v>
      </c>
      <c r="E153" s="5">
        <v>5</v>
      </c>
      <c r="F153" s="6"/>
    </row>
    <row r="154" spans="1:6" ht="36" customHeight="1">
      <c r="A154" s="12" t="s">
        <v>428</v>
      </c>
      <c r="B154" s="5">
        <v>6</v>
      </c>
      <c r="C154" s="5" t="s">
        <v>1365</v>
      </c>
      <c r="D154" s="5" t="s">
        <v>1366</v>
      </c>
      <c r="E154" s="5">
        <v>6</v>
      </c>
      <c r="F154" s="6"/>
    </row>
    <row r="155" spans="1:6" ht="36" customHeight="1">
      <c r="A155" s="12" t="s">
        <v>428</v>
      </c>
      <c r="B155" s="5">
        <v>7</v>
      </c>
      <c r="C155" s="5" t="s">
        <v>1367</v>
      </c>
      <c r="D155" s="5" t="s">
        <v>1368</v>
      </c>
      <c r="E155" s="5">
        <v>7</v>
      </c>
      <c r="F155" s="6"/>
    </row>
    <row r="156" spans="1:6" ht="36" customHeight="1">
      <c r="A156" s="12" t="s">
        <v>428</v>
      </c>
      <c r="B156" s="5">
        <v>8</v>
      </c>
      <c r="C156" s="5" t="s">
        <v>1354</v>
      </c>
      <c r="D156" s="5" t="s">
        <v>1295</v>
      </c>
      <c r="E156" s="5">
        <v>9</v>
      </c>
      <c r="F156" s="6"/>
    </row>
    <row r="157" spans="1:6" ht="36" customHeight="1">
      <c r="A157" s="12" t="s">
        <v>433</v>
      </c>
      <c r="B157" s="5">
        <v>1</v>
      </c>
      <c r="C157" s="5" t="s">
        <v>1369</v>
      </c>
      <c r="D157" s="5" t="s">
        <v>1370</v>
      </c>
      <c r="E157" s="5">
        <v>1</v>
      </c>
      <c r="F157" s="6"/>
    </row>
    <row r="158" spans="1:6" ht="36" customHeight="1">
      <c r="A158" s="12" t="s">
        <v>433</v>
      </c>
      <c r="B158" s="5">
        <v>2</v>
      </c>
      <c r="C158" s="5" t="s">
        <v>1371</v>
      </c>
      <c r="D158" s="5" t="s">
        <v>1372</v>
      </c>
      <c r="E158" s="5">
        <v>2</v>
      </c>
      <c r="F158" s="6"/>
    </row>
    <row r="159" spans="1:6" ht="36" customHeight="1">
      <c r="A159" s="12" t="s">
        <v>433</v>
      </c>
      <c r="B159" s="5">
        <v>3</v>
      </c>
      <c r="C159" s="5" t="s">
        <v>1373</v>
      </c>
      <c r="D159" s="5" t="s">
        <v>1374</v>
      </c>
      <c r="E159" s="5">
        <v>3</v>
      </c>
      <c r="F159" s="6"/>
    </row>
    <row r="160" spans="1:6" ht="36" customHeight="1">
      <c r="A160" s="12" t="s">
        <v>433</v>
      </c>
      <c r="B160" s="5">
        <v>4</v>
      </c>
      <c r="C160" s="5" t="s">
        <v>1375</v>
      </c>
      <c r="D160" s="5" t="s">
        <v>1376</v>
      </c>
      <c r="E160" s="5">
        <v>4</v>
      </c>
      <c r="F160" s="6"/>
    </row>
    <row r="161" spans="1:6" ht="36" customHeight="1">
      <c r="A161" s="12" t="s">
        <v>433</v>
      </c>
      <c r="B161" s="5">
        <v>5</v>
      </c>
      <c r="C161" s="5" t="s">
        <v>1377</v>
      </c>
      <c r="D161" s="5" t="s">
        <v>1378</v>
      </c>
      <c r="E161" s="5">
        <v>5</v>
      </c>
      <c r="F161" s="6"/>
    </row>
    <row r="162" spans="1:6" ht="36" customHeight="1">
      <c r="A162" s="12" t="s">
        <v>433</v>
      </c>
      <c r="B162" s="5">
        <v>6</v>
      </c>
      <c r="C162" s="5" t="s">
        <v>1379</v>
      </c>
      <c r="D162" s="5" t="s">
        <v>1380</v>
      </c>
      <c r="E162" s="5">
        <v>6</v>
      </c>
      <c r="F162" s="6"/>
    </row>
    <row r="163" spans="1:6" ht="36" customHeight="1">
      <c r="A163" s="12" t="s">
        <v>433</v>
      </c>
      <c r="B163" s="5">
        <v>7</v>
      </c>
      <c r="C163" s="5" t="s">
        <v>1381</v>
      </c>
      <c r="D163" s="5" t="s">
        <v>1382</v>
      </c>
      <c r="E163" s="5">
        <v>7</v>
      </c>
      <c r="F163" s="6"/>
    </row>
    <row r="164" spans="1:6" ht="36" customHeight="1">
      <c r="A164" s="12" t="s">
        <v>433</v>
      </c>
      <c r="B164" s="5">
        <v>8</v>
      </c>
      <c r="C164" s="5" t="s">
        <v>1383</v>
      </c>
      <c r="D164" s="5" t="s">
        <v>1384</v>
      </c>
      <c r="E164" s="5">
        <v>8</v>
      </c>
      <c r="F164" s="6"/>
    </row>
    <row r="165" spans="1:6" ht="36" customHeight="1">
      <c r="A165" s="12" t="s">
        <v>433</v>
      </c>
      <c r="B165" s="5">
        <v>9</v>
      </c>
      <c r="C165" s="5" t="s">
        <v>1339</v>
      </c>
      <c r="D165" s="5" t="s">
        <v>1385</v>
      </c>
      <c r="E165" s="5">
        <v>9</v>
      </c>
      <c r="F165" s="6"/>
    </row>
    <row r="166" spans="1:6" ht="36" customHeight="1">
      <c r="A166" s="12" t="s">
        <v>438</v>
      </c>
      <c r="B166" s="5">
        <v>1</v>
      </c>
      <c r="C166" s="5" t="s">
        <v>1386</v>
      </c>
      <c r="D166" s="5" t="s">
        <v>1387</v>
      </c>
      <c r="E166" s="5">
        <v>1</v>
      </c>
      <c r="F166" s="6"/>
    </row>
    <row r="167" spans="1:6" ht="36" customHeight="1">
      <c r="A167" s="12" t="s">
        <v>438</v>
      </c>
      <c r="B167" s="5">
        <v>2</v>
      </c>
      <c r="C167" s="5" t="s">
        <v>1388</v>
      </c>
      <c r="D167" s="5" t="s">
        <v>1389</v>
      </c>
      <c r="E167" s="5">
        <v>2</v>
      </c>
      <c r="F167" s="6"/>
    </row>
    <row r="168" spans="1:6" ht="36" customHeight="1">
      <c r="A168" s="12" t="s">
        <v>438</v>
      </c>
      <c r="B168" s="5">
        <v>3</v>
      </c>
      <c r="C168" s="5" t="s">
        <v>1390</v>
      </c>
      <c r="D168" s="5" t="s">
        <v>1391</v>
      </c>
      <c r="E168" s="5">
        <v>3</v>
      </c>
      <c r="F168" s="6"/>
    </row>
    <row r="169" spans="1:6" ht="36" customHeight="1">
      <c r="A169" s="12" t="s">
        <v>438</v>
      </c>
      <c r="B169" s="5">
        <v>4</v>
      </c>
      <c r="C169" s="5" t="s">
        <v>1392</v>
      </c>
      <c r="D169" s="5" t="s">
        <v>1393</v>
      </c>
      <c r="E169" s="5">
        <v>4</v>
      </c>
      <c r="F169" s="6"/>
    </row>
    <row r="170" spans="1:6" ht="36" customHeight="1">
      <c r="A170" s="12" t="s">
        <v>438</v>
      </c>
      <c r="B170" s="5">
        <v>5</v>
      </c>
      <c r="C170" s="5" t="s">
        <v>1394</v>
      </c>
      <c r="D170" s="5" t="s">
        <v>1395</v>
      </c>
      <c r="E170" s="5">
        <v>5</v>
      </c>
      <c r="F170" s="6"/>
    </row>
    <row r="171" spans="1:6" ht="36" customHeight="1">
      <c r="A171" s="12" t="s">
        <v>438</v>
      </c>
      <c r="B171" s="5">
        <v>6</v>
      </c>
      <c r="C171" s="5" t="s">
        <v>1396</v>
      </c>
      <c r="D171" s="5" t="s">
        <v>1397</v>
      </c>
      <c r="E171" s="5">
        <v>6</v>
      </c>
      <c r="F171" s="6"/>
    </row>
    <row r="172" spans="1:6" ht="36" customHeight="1">
      <c r="A172" s="12" t="s">
        <v>438</v>
      </c>
      <c r="B172" s="5">
        <v>7</v>
      </c>
      <c r="C172" s="5" t="s">
        <v>1398</v>
      </c>
      <c r="D172" s="5" t="s">
        <v>1399</v>
      </c>
      <c r="E172" s="5">
        <v>7</v>
      </c>
      <c r="F172" s="6"/>
    </row>
    <row r="173" spans="1:6" ht="36" customHeight="1">
      <c r="A173" s="12" t="s">
        <v>438</v>
      </c>
      <c r="B173" s="5">
        <v>8</v>
      </c>
      <c r="C173" s="5" t="s">
        <v>1400</v>
      </c>
      <c r="D173" s="5" t="s">
        <v>1401</v>
      </c>
      <c r="E173" s="5">
        <v>8</v>
      </c>
      <c r="F173" s="6"/>
    </row>
    <row r="174" spans="1:6" ht="36" customHeight="1">
      <c r="A174" s="12" t="s">
        <v>438</v>
      </c>
      <c r="B174" s="5">
        <v>9</v>
      </c>
      <c r="C174" s="5" t="s">
        <v>1402</v>
      </c>
      <c r="D174" s="5" t="s">
        <v>1403</v>
      </c>
      <c r="E174" s="5">
        <v>9</v>
      </c>
      <c r="F174" s="6"/>
    </row>
    <row r="175" spans="1:6" ht="36" customHeight="1">
      <c r="A175" s="12" t="s">
        <v>438</v>
      </c>
      <c r="B175" s="5">
        <v>10</v>
      </c>
      <c r="C175" s="5" t="s">
        <v>1339</v>
      </c>
      <c r="D175" s="5" t="s">
        <v>1385</v>
      </c>
      <c r="E175" s="5">
        <v>99</v>
      </c>
      <c r="F175" s="6"/>
    </row>
    <row r="176" spans="1:6" ht="36" customHeight="1">
      <c r="A176" s="12" t="s">
        <v>467</v>
      </c>
      <c r="B176" s="5">
        <v>1</v>
      </c>
      <c r="C176" s="5" t="s">
        <v>1149</v>
      </c>
      <c r="D176" s="5" t="s">
        <v>1150</v>
      </c>
      <c r="E176" s="5">
        <v>0</v>
      </c>
      <c r="F176" s="6"/>
    </row>
    <row r="177" spans="1:6" ht="36" customHeight="1">
      <c r="A177" s="12" t="s">
        <v>467</v>
      </c>
      <c r="B177" s="5">
        <v>2</v>
      </c>
      <c r="C177" s="5" t="s">
        <v>1404</v>
      </c>
      <c r="D177" s="5" t="s">
        <v>1405</v>
      </c>
      <c r="E177" s="5">
        <v>1</v>
      </c>
      <c r="F177" s="6"/>
    </row>
    <row r="178" spans="1:6" ht="36" customHeight="1">
      <c r="A178" s="12" t="s">
        <v>467</v>
      </c>
      <c r="B178" s="5">
        <v>3</v>
      </c>
      <c r="C178" s="5" t="s">
        <v>1406</v>
      </c>
      <c r="D178" s="5" t="s">
        <v>1407</v>
      </c>
      <c r="E178" s="5">
        <v>2</v>
      </c>
      <c r="F178" s="6"/>
    </row>
    <row r="179" spans="1:6" ht="36" customHeight="1">
      <c r="A179" s="12" t="s">
        <v>467</v>
      </c>
      <c r="B179" s="5">
        <v>4</v>
      </c>
      <c r="C179" s="5" t="s">
        <v>1408</v>
      </c>
      <c r="D179" s="5" t="s">
        <v>1409</v>
      </c>
      <c r="E179" s="5">
        <v>3</v>
      </c>
      <c r="F179" s="6"/>
    </row>
    <row r="180" spans="1:6" ht="36" customHeight="1">
      <c r="A180" s="12" t="s">
        <v>472</v>
      </c>
      <c r="B180" s="5">
        <v>1</v>
      </c>
      <c r="C180" s="5" t="s">
        <v>1410</v>
      </c>
      <c r="D180" s="5" t="s">
        <v>1240</v>
      </c>
      <c r="E180" s="5">
        <v>1</v>
      </c>
      <c r="F180" s="6"/>
    </row>
    <row r="181" spans="1:6" ht="36" customHeight="1">
      <c r="A181" s="12" t="s">
        <v>472</v>
      </c>
      <c r="B181" s="5">
        <v>2</v>
      </c>
      <c r="C181" s="5" t="s">
        <v>1411</v>
      </c>
      <c r="D181" s="5" t="s">
        <v>1412</v>
      </c>
      <c r="E181" s="5">
        <v>2</v>
      </c>
      <c r="F181" s="6"/>
    </row>
    <row r="182" spans="1:6" ht="36" customHeight="1">
      <c r="A182" s="12" t="s">
        <v>472</v>
      </c>
      <c r="B182" s="5">
        <v>3</v>
      </c>
      <c r="C182" s="5" t="s">
        <v>1413</v>
      </c>
      <c r="D182" s="5" t="s">
        <v>1242</v>
      </c>
      <c r="E182" s="5">
        <v>3</v>
      </c>
      <c r="F182" s="6"/>
    </row>
    <row r="183" spans="1:6" ht="36" customHeight="1">
      <c r="A183" s="12" t="s">
        <v>472</v>
      </c>
      <c r="B183" s="5">
        <v>4</v>
      </c>
      <c r="C183" s="5" t="s">
        <v>1414</v>
      </c>
      <c r="D183" s="5" t="s">
        <v>1415</v>
      </c>
      <c r="E183" s="5">
        <v>4</v>
      </c>
      <c r="F183" s="6"/>
    </row>
    <row r="184" spans="1:6" ht="36" customHeight="1">
      <c r="A184" s="12" t="s">
        <v>472</v>
      </c>
      <c r="B184" s="5">
        <v>5</v>
      </c>
      <c r="C184" s="5" t="s">
        <v>1416</v>
      </c>
      <c r="D184" s="5" t="s">
        <v>1417</v>
      </c>
      <c r="E184" s="5">
        <v>5</v>
      </c>
      <c r="F184" s="6"/>
    </row>
    <row r="185" spans="1:6" ht="36" customHeight="1">
      <c r="A185" s="12" t="s">
        <v>494</v>
      </c>
      <c r="B185" s="5">
        <v>1</v>
      </c>
      <c r="C185" s="5" t="s">
        <v>1418</v>
      </c>
      <c r="D185" s="5" t="s">
        <v>1147</v>
      </c>
      <c r="E185" s="5">
        <v>1</v>
      </c>
      <c r="F185" s="6"/>
    </row>
    <row r="186" spans="1:6" ht="36" customHeight="1">
      <c r="A186" s="12" t="s">
        <v>494</v>
      </c>
      <c r="B186" s="5">
        <v>2</v>
      </c>
      <c r="C186" s="5" t="s">
        <v>1419</v>
      </c>
      <c r="D186" s="5" t="s">
        <v>1144</v>
      </c>
      <c r="E186" s="5">
        <v>0</v>
      </c>
      <c r="F186" s="6"/>
    </row>
    <row r="187" spans="1:6" ht="36" customHeight="1">
      <c r="A187" s="12" t="s">
        <v>494</v>
      </c>
      <c r="B187" s="5">
        <v>3</v>
      </c>
      <c r="C187" s="5" t="s">
        <v>1148</v>
      </c>
      <c r="D187" s="5" t="s">
        <v>1138</v>
      </c>
      <c r="E187" s="5">
        <v>9</v>
      </c>
      <c r="F187" s="6"/>
    </row>
    <row r="188" spans="1:6" ht="36" customHeight="1">
      <c r="A188" s="12" t="s">
        <v>507</v>
      </c>
      <c r="B188" s="5">
        <v>1</v>
      </c>
      <c r="C188" s="5" t="s">
        <v>1420</v>
      </c>
      <c r="D188" s="5" t="s">
        <v>1421</v>
      </c>
      <c r="E188" s="5">
        <v>1</v>
      </c>
      <c r="F188" s="6" t="s">
        <v>1422</v>
      </c>
    </row>
    <row r="189" spans="1:6" ht="36" customHeight="1">
      <c r="A189" s="12" t="s">
        <v>507</v>
      </c>
      <c r="B189" s="5">
        <v>2</v>
      </c>
      <c r="C189" s="5" t="s">
        <v>1423</v>
      </c>
      <c r="D189" s="5" t="s">
        <v>1424</v>
      </c>
      <c r="E189" s="5">
        <v>2</v>
      </c>
      <c r="F189" s="6"/>
    </row>
    <row r="190" spans="1:6" ht="36" customHeight="1">
      <c r="A190" s="12" t="s">
        <v>507</v>
      </c>
      <c r="B190" s="5">
        <v>3</v>
      </c>
      <c r="C190" s="5" t="s">
        <v>1425</v>
      </c>
      <c r="D190" s="5" t="s">
        <v>1426</v>
      </c>
      <c r="E190" s="5">
        <v>3</v>
      </c>
      <c r="F190" s="6"/>
    </row>
    <row r="191" spans="1:6" ht="36" customHeight="1">
      <c r="A191" s="12" t="s">
        <v>507</v>
      </c>
      <c r="B191" s="5">
        <v>4</v>
      </c>
      <c r="C191" s="5" t="s">
        <v>1427</v>
      </c>
      <c r="D191" s="5" t="s">
        <v>1428</v>
      </c>
      <c r="E191" s="5">
        <v>4</v>
      </c>
      <c r="F191" s="6"/>
    </row>
    <row r="192" spans="1:6" ht="36" customHeight="1">
      <c r="A192" s="12" t="s">
        <v>507</v>
      </c>
      <c r="B192" s="5">
        <v>5</v>
      </c>
      <c r="C192" s="5" t="s">
        <v>1429</v>
      </c>
      <c r="D192" s="5" t="s">
        <v>1430</v>
      </c>
      <c r="E192" s="5">
        <v>5</v>
      </c>
      <c r="F192" s="6"/>
    </row>
    <row r="193" spans="1:6" ht="36" customHeight="1">
      <c r="A193" s="12" t="s">
        <v>521</v>
      </c>
      <c r="B193" s="5">
        <v>1</v>
      </c>
      <c r="C193" s="5" t="s">
        <v>1431</v>
      </c>
      <c r="D193" s="5" t="s">
        <v>1432</v>
      </c>
      <c r="E193" s="5">
        <v>1</v>
      </c>
      <c r="F193" s="6"/>
    </row>
    <row r="194" spans="1:6" ht="36" customHeight="1">
      <c r="A194" s="12" t="s">
        <v>521</v>
      </c>
      <c r="B194" s="5">
        <v>2</v>
      </c>
      <c r="C194" s="5" t="s">
        <v>1020</v>
      </c>
      <c r="D194" s="5"/>
      <c r="E194" s="5">
        <v>2</v>
      </c>
      <c r="F194" s="6"/>
    </row>
    <row r="195" spans="1:6" ht="36" customHeight="1">
      <c r="A195" s="12" t="s">
        <v>521</v>
      </c>
      <c r="B195" s="5">
        <v>3</v>
      </c>
      <c r="C195" s="5" t="s">
        <v>1100</v>
      </c>
      <c r="D195" s="5"/>
      <c r="E195" s="5">
        <v>3</v>
      </c>
      <c r="F195" s="6"/>
    </row>
    <row r="196" spans="1:6" ht="36" customHeight="1">
      <c r="A196" s="12" t="s">
        <v>521</v>
      </c>
      <c r="B196" s="5">
        <v>4</v>
      </c>
      <c r="C196" s="5" t="s">
        <v>1102</v>
      </c>
      <c r="D196" s="5"/>
      <c r="E196" s="5">
        <v>4</v>
      </c>
      <c r="F196" s="6"/>
    </row>
    <row r="197" spans="1:6" ht="36" customHeight="1">
      <c r="A197" s="12" t="s">
        <v>521</v>
      </c>
      <c r="B197" s="5">
        <v>5</v>
      </c>
      <c r="C197" s="5" t="s">
        <v>1104</v>
      </c>
      <c r="D197" s="5"/>
      <c r="E197" s="5">
        <v>5</v>
      </c>
      <c r="F197" s="6"/>
    </row>
    <row r="198" spans="1:6" ht="36" customHeight="1">
      <c r="A198" s="12" t="s">
        <v>521</v>
      </c>
      <c r="B198" s="5">
        <v>6</v>
      </c>
      <c r="C198" s="5" t="s">
        <v>1257</v>
      </c>
      <c r="D198" s="5"/>
      <c r="E198" s="5">
        <v>6</v>
      </c>
      <c r="F198" s="6"/>
    </row>
    <row r="199" spans="1:6" ht="36" customHeight="1">
      <c r="A199" s="12" t="s">
        <v>521</v>
      </c>
      <c r="B199" s="5">
        <v>7</v>
      </c>
      <c r="C199" s="5" t="s">
        <v>1433</v>
      </c>
      <c r="D199" s="5"/>
      <c r="E199" s="5">
        <v>7</v>
      </c>
      <c r="F199" s="6"/>
    </row>
    <row r="200" spans="1:6" ht="36" customHeight="1">
      <c r="A200" s="12" t="s">
        <v>521</v>
      </c>
      <c r="B200" s="5">
        <v>8</v>
      </c>
      <c r="C200" s="5" t="s">
        <v>1434</v>
      </c>
      <c r="D200" s="5"/>
      <c r="E200" s="5">
        <v>8</v>
      </c>
      <c r="F200" s="6"/>
    </row>
    <row r="201" spans="1:6" ht="36" customHeight="1">
      <c r="A201" s="12" t="s">
        <v>521</v>
      </c>
      <c r="B201" s="5">
        <v>9</v>
      </c>
      <c r="C201" s="5" t="s">
        <v>1435</v>
      </c>
      <c r="D201" s="5" t="s">
        <v>1436</v>
      </c>
      <c r="E201" s="5">
        <v>9</v>
      </c>
      <c r="F201" s="6"/>
    </row>
    <row r="202" spans="1:6" ht="36" customHeight="1">
      <c r="A202" s="12" t="s">
        <v>527</v>
      </c>
      <c r="B202" s="5">
        <v>1</v>
      </c>
      <c r="C202" s="5" t="s">
        <v>1437</v>
      </c>
      <c r="D202" s="5" t="s">
        <v>1438</v>
      </c>
      <c r="E202" s="5">
        <v>1</v>
      </c>
      <c r="F202" s="6"/>
    </row>
    <row r="203" spans="1:6" ht="36" customHeight="1">
      <c r="A203" s="12" t="s">
        <v>527</v>
      </c>
      <c r="B203" s="5">
        <v>2</v>
      </c>
      <c r="C203" s="5" t="s">
        <v>1020</v>
      </c>
      <c r="D203" s="5"/>
      <c r="E203" s="5">
        <v>2</v>
      </c>
      <c r="F203" s="6"/>
    </row>
    <row r="204" spans="1:6" ht="36" customHeight="1">
      <c r="A204" s="12" t="s">
        <v>527</v>
      </c>
      <c r="B204" s="5">
        <v>3</v>
      </c>
      <c r="C204" s="5" t="s">
        <v>1100</v>
      </c>
      <c r="D204" s="5"/>
      <c r="E204" s="5">
        <v>3</v>
      </c>
      <c r="F204" s="6"/>
    </row>
    <row r="205" spans="1:6" ht="36" customHeight="1">
      <c r="A205" s="12" t="s">
        <v>527</v>
      </c>
      <c r="B205" s="5">
        <v>4</v>
      </c>
      <c r="C205" s="5" t="s">
        <v>1102</v>
      </c>
      <c r="D205" s="5"/>
      <c r="E205" s="5">
        <v>4</v>
      </c>
      <c r="F205" s="6"/>
    </row>
    <row r="206" spans="1:6" ht="36" customHeight="1">
      <c r="A206" s="12" t="s">
        <v>527</v>
      </c>
      <c r="B206" s="5">
        <v>5</v>
      </c>
      <c r="C206" s="5" t="s">
        <v>1104</v>
      </c>
      <c r="D206" s="5"/>
      <c r="E206" s="5">
        <v>5</v>
      </c>
      <c r="F206" s="6"/>
    </row>
    <row r="207" spans="1:6" ht="36" customHeight="1">
      <c r="A207" s="12" t="s">
        <v>527</v>
      </c>
      <c r="B207" s="5">
        <v>6</v>
      </c>
      <c r="C207" s="5" t="s">
        <v>1257</v>
      </c>
      <c r="D207" s="5"/>
      <c r="E207" s="5">
        <v>6</v>
      </c>
      <c r="F207" s="6"/>
    </row>
    <row r="208" spans="1:6" ht="36" customHeight="1">
      <c r="A208" s="12" t="s">
        <v>527</v>
      </c>
      <c r="B208" s="5">
        <v>7</v>
      </c>
      <c r="C208" s="5" t="s">
        <v>1433</v>
      </c>
      <c r="D208" s="5"/>
      <c r="E208" s="5">
        <v>7</v>
      </c>
      <c r="F208" s="6"/>
    </row>
    <row r="209" spans="1:6" ht="36" customHeight="1">
      <c r="A209" s="12" t="s">
        <v>527</v>
      </c>
      <c r="B209" s="5">
        <v>8</v>
      </c>
      <c r="C209" s="5" t="s">
        <v>1434</v>
      </c>
      <c r="D209" s="5"/>
      <c r="E209" s="5">
        <v>8</v>
      </c>
      <c r="F209" s="6"/>
    </row>
    <row r="210" spans="1:6" ht="36" customHeight="1">
      <c r="A210" s="12" t="s">
        <v>527</v>
      </c>
      <c r="B210" s="5">
        <v>9</v>
      </c>
      <c r="C210" s="5" t="s">
        <v>1439</v>
      </c>
      <c r="D210" s="5" t="s">
        <v>1440</v>
      </c>
      <c r="E210" s="5">
        <v>9</v>
      </c>
      <c r="F210" s="6"/>
    </row>
    <row r="211" spans="1:6" ht="36" customHeight="1">
      <c r="A211" s="12" t="s">
        <v>533</v>
      </c>
      <c r="B211" s="5">
        <v>1</v>
      </c>
      <c r="C211" s="5" t="s">
        <v>1441</v>
      </c>
      <c r="D211" s="5" t="s">
        <v>1442</v>
      </c>
      <c r="E211" s="5">
        <v>1</v>
      </c>
      <c r="F211" s="6"/>
    </row>
    <row r="212" spans="1:6" ht="36" customHeight="1">
      <c r="A212" s="12" t="s">
        <v>533</v>
      </c>
      <c r="B212" s="5">
        <v>2</v>
      </c>
      <c r="C212" s="5" t="s">
        <v>1020</v>
      </c>
      <c r="D212" s="5"/>
      <c r="E212" s="5">
        <v>2</v>
      </c>
      <c r="F212" s="6"/>
    </row>
    <row r="213" spans="1:6" ht="36" customHeight="1">
      <c r="A213" s="12" t="s">
        <v>533</v>
      </c>
      <c r="B213" s="5">
        <v>3</v>
      </c>
      <c r="C213" s="5" t="s">
        <v>1100</v>
      </c>
      <c r="D213" s="5"/>
      <c r="E213" s="5">
        <v>3</v>
      </c>
      <c r="F213" s="6"/>
    </row>
    <row r="214" spans="1:6" ht="36" customHeight="1">
      <c r="A214" s="12" t="s">
        <v>533</v>
      </c>
      <c r="B214" s="5">
        <v>4</v>
      </c>
      <c r="C214" s="5" t="s">
        <v>1102</v>
      </c>
      <c r="D214" s="5"/>
      <c r="E214" s="5">
        <v>4</v>
      </c>
      <c r="F214" s="6"/>
    </row>
    <row r="215" spans="1:6" ht="36" customHeight="1">
      <c r="A215" s="12" t="s">
        <v>533</v>
      </c>
      <c r="B215" s="5">
        <v>5</v>
      </c>
      <c r="C215" s="5" t="s">
        <v>1104</v>
      </c>
      <c r="D215" s="5"/>
      <c r="E215" s="5">
        <v>5</v>
      </c>
      <c r="F215" s="6"/>
    </row>
    <row r="216" spans="1:6" ht="36" customHeight="1">
      <c r="A216" s="12" t="s">
        <v>533</v>
      </c>
      <c r="B216" s="5">
        <v>6</v>
      </c>
      <c r="C216" s="5" t="s">
        <v>1257</v>
      </c>
      <c r="D216" s="5"/>
      <c r="E216" s="5">
        <v>6</v>
      </c>
      <c r="F216" s="6"/>
    </row>
    <row r="217" spans="1:6" ht="36" customHeight="1">
      <c r="A217" s="12" t="s">
        <v>533</v>
      </c>
      <c r="B217" s="5">
        <v>7</v>
      </c>
      <c r="C217" s="5" t="s">
        <v>1433</v>
      </c>
      <c r="D217" s="5"/>
      <c r="E217" s="5">
        <v>7</v>
      </c>
      <c r="F217" s="6"/>
    </row>
    <row r="218" spans="1:6" ht="36" customHeight="1">
      <c r="A218" s="12" t="s">
        <v>533</v>
      </c>
      <c r="B218" s="5">
        <v>8</v>
      </c>
      <c r="C218" s="5" t="s">
        <v>1434</v>
      </c>
      <c r="D218" s="5"/>
      <c r="E218" s="5">
        <v>8</v>
      </c>
      <c r="F218" s="6"/>
    </row>
    <row r="219" spans="1:6" ht="36" customHeight="1">
      <c r="A219" s="12" t="s">
        <v>533</v>
      </c>
      <c r="B219" s="5">
        <v>9</v>
      </c>
      <c r="C219" s="5" t="s">
        <v>1443</v>
      </c>
      <c r="D219" s="5" t="s">
        <v>1444</v>
      </c>
      <c r="E219" s="5">
        <v>9</v>
      </c>
      <c r="F219" s="6"/>
    </row>
    <row r="220" spans="1:6" ht="36" customHeight="1">
      <c r="A220" s="12" t="s">
        <v>540</v>
      </c>
      <c r="B220" s="5">
        <v>1</v>
      </c>
      <c r="C220" s="5" t="s">
        <v>1445</v>
      </c>
      <c r="D220" s="5" t="s">
        <v>1446</v>
      </c>
      <c r="E220" s="5">
        <v>1</v>
      </c>
      <c r="F220" s="6"/>
    </row>
    <row r="221" spans="1:6" ht="36" customHeight="1">
      <c r="A221" s="12" t="s">
        <v>540</v>
      </c>
      <c r="B221" s="5">
        <v>2</v>
      </c>
      <c r="C221" s="5" t="s">
        <v>1020</v>
      </c>
      <c r="D221" s="5"/>
      <c r="E221" s="5">
        <v>2</v>
      </c>
      <c r="F221" s="6"/>
    </row>
    <row r="222" spans="1:6" ht="36" customHeight="1">
      <c r="A222" s="12" t="s">
        <v>540</v>
      </c>
      <c r="B222" s="5">
        <v>3</v>
      </c>
      <c r="C222" s="5" t="s">
        <v>1100</v>
      </c>
      <c r="D222" s="5"/>
      <c r="E222" s="5">
        <v>3</v>
      </c>
      <c r="F222" s="6"/>
    </row>
    <row r="223" spans="1:6" ht="36" customHeight="1">
      <c r="A223" s="12" t="s">
        <v>540</v>
      </c>
      <c r="B223" s="5">
        <v>4</v>
      </c>
      <c r="C223" s="5" t="s">
        <v>1102</v>
      </c>
      <c r="D223" s="5"/>
      <c r="E223" s="5">
        <v>4</v>
      </c>
      <c r="F223" s="6"/>
    </row>
    <row r="224" spans="1:6" ht="36" customHeight="1">
      <c r="A224" s="12" t="s">
        <v>540</v>
      </c>
      <c r="B224" s="5">
        <v>5</v>
      </c>
      <c r="C224" s="5" t="s">
        <v>1104</v>
      </c>
      <c r="D224" s="5"/>
      <c r="E224" s="5">
        <v>5</v>
      </c>
      <c r="F224" s="6"/>
    </row>
    <row r="225" spans="1:6" ht="36" customHeight="1">
      <c r="A225" s="12" t="s">
        <v>540</v>
      </c>
      <c r="B225" s="5">
        <v>6</v>
      </c>
      <c r="C225" s="5" t="s">
        <v>1257</v>
      </c>
      <c r="D225" s="5"/>
      <c r="E225" s="5">
        <v>6</v>
      </c>
      <c r="F225" s="6"/>
    </row>
    <row r="226" spans="1:6" ht="36" customHeight="1">
      <c r="A226" s="12" t="s">
        <v>540</v>
      </c>
      <c r="B226" s="5">
        <v>7</v>
      </c>
      <c r="C226" s="5" t="s">
        <v>1433</v>
      </c>
      <c r="D226" s="5"/>
      <c r="E226" s="5">
        <v>7</v>
      </c>
      <c r="F226" s="6"/>
    </row>
    <row r="227" spans="1:6" ht="36" customHeight="1">
      <c r="A227" s="12" t="s">
        <v>540</v>
      </c>
      <c r="B227" s="5">
        <v>8</v>
      </c>
      <c r="C227" s="5" t="s">
        <v>1434</v>
      </c>
      <c r="D227" s="5"/>
      <c r="E227" s="5">
        <v>8</v>
      </c>
      <c r="F227" s="6"/>
    </row>
    <row r="228" spans="1:6" ht="36" customHeight="1">
      <c r="A228" s="12" t="s">
        <v>540</v>
      </c>
      <c r="B228" s="5">
        <v>9</v>
      </c>
      <c r="C228" s="5" t="s">
        <v>1447</v>
      </c>
      <c r="D228" s="5" t="s">
        <v>1448</v>
      </c>
      <c r="E228" s="5">
        <v>9</v>
      </c>
      <c r="F228" s="6"/>
    </row>
    <row r="229" spans="1:6" ht="36" customHeight="1">
      <c r="A229" s="12" t="s">
        <v>548</v>
      </c>
      <c r="B229" s="5">
        <v>1</v>
      </c>
      <c r="C229" s="5" t="s">
        <v>1449</v>
      </c>
      <c r="D229" s="5" t="s">
        <v>1450</v>
      </c>
      <c r="E229" s="5">
        <v>1</v>
      </c>
      <c r="F229" s="6"/>
    </row>
    <row r="230" spans="1:6" ht="36" customHeight="1">
      <c r="A230" s="12" t="s">
        <v>548</v>
      </c>
      <c r="B230" s="5">
        <v>2</v>
      </c>
      <c r="C230" s="5" t="s">
        <v>1020</v>
      </c>
      <c r="D230" s="5"/>
      <c r="E230" s="5">
        <v>2</v>
      </c>
      <c r="F230" s="6"/>
    </row>
    <row r="231" spans="1:6" ht="36" customHeight="1">
      <c r="A231" s="12" t="s">
        <v>548</v>
      </c>
      <c r="B231" s="5">
        <v>3</v>
      </c>
      <c r="C231" s="5" t="s">
        <v>1100</v>
      </c>
      <c r="D231" s="5"/>
      <c r="E231" s="5">
        <v>3</v>
      </c>
      <c r="F231" s="6"/>
    </row>
    <row r="232" spans="1:6" ht="36" customHeight="1">
      <c r="A232" s="12" t="s">
        <v>548</v>
      </c>
      <c r="B232" s="5">
        <v>4</v>
      </c>
      <c r="C232" s="5" t="s">
        <v>1102</v>
      </c>
      <c r="D232" s="5"/>
      <c r="E232" s="5">
        <v>4</v>
      </c>
      <c r="F232" s="6"/>
    </row>
    <row r="233" spans="1:6" ht="36" customHeight="1">
      <c r="A233" s="12" t="s">
        <v>548</v>
      </c>
      <c r="B233" s="5">
        <v>5</v>
      </c>
      <c r="C233" s="5" t="s">
        <v>1104</v>
      </c>
      <c r="D233" s="5"/>
      <c r="E233" s="5">
        <v>5</v>
      </c>
      <c r="F233" s="6"/>
    </row>
    <row r="234" spans="1:6" ht="36" customHeight="1">
      <c r="A234" s="12" t="s">
        <v>548</v>
      </c>
      <c r="B234" s="5">
        <v>6</v>
      </c>
      <c r="C234" s="5" t="s">
        <v>1257</v>
      </c>
      <c r="D234" s="5"/>
      <c r="E234" s="5">
        <v>6</v>
      </c>
      <c r="F234" s="6"/>
    </row>
    <row r="235" spans="1:6" ht="36" customHeight="1">
      <c r="A235" s="12" t="s">
        <v>548</v>
      </c>
      <c r="B235" s="5">
        <v>7</v>
      </c>
      <c r="C235" s="5" t="s">
        <v>1433</v>
      </c>
      <c r="D235" s="5"/>
      <c r="E235" s="5">
        <v>7</v>
      </c>
      <c r="F235" s="6"/>
    </row>
    <row r="236" spans="1:6" ht="36" customHeight="1">
      <c r="A236" s="12" t="s">
        <v>548</v>
      </c>
      <c r="B236" s="5">
        <v>8</v>
      </c>
      <c r="C236" s="5" t="s">
        <v>1434</v>
      </c>
      <c r="D236" s="5"/>
      <c r="E236" s="5">
        <v>8</v>
      </c>
      <c r="F236" s="6"/>
    </row>
    <row r="237" spans="1:6" ht="36" customHeight="1">
      <c r="A237" s="12" t="s">
        <v>548</v>
      </c>
      <c r="B237" s="5">
        <v>9</v>
      </c>
      <c r="C237" s="5" t="s">
        <v>1451</v>
      </c>
      <c r="D237" s="5" t="s">
        <v>1452</v>
      </c>
      <c r="E237" s="5">
        <v>9</v>
      </c>
      <c r="F237" s="6"/>
    </row>
    <row r="238" spans="1:6" ht="36" customHeight="1">
      <c r="A238" s="12" t="s">
        <v>576</v>
      </c>
      <c r="B238" s="5">
        <v>1</v>
      </c>
      <c r="C238" s="5" t="s">
        <v>1453</v>
      </c>
      <c r="D238" s="5" t="s">
        <v>1240</v>
      </c>
      <c r="E238" s="5">
        <v>1</v>
      </c>
      <c r="F238" s="6"/>
    </row>
    <row r="239" spans="1:6" ht="36" customHeight="1">
      <c r="A239" s="12" t="s">
        <v>576</v>
      </c>
      <c r="B239" s="5">
        <v>2</v>
      </c>
      <c r="C239" s="5" t="s">
        <v>1454</v>
      </c>
      <c r="D239" s="5" t="s">
        <v>1455</v>
      </c>
      <c r="E239" s="5">
        <v>2</v>
      </c>
      <c r="F239" s="6"/>
    </row>
    <row r="240" spans="1:6" ht="36" customHeight="1">
      <c r="A240" s="12" t="s">
        <v>576</v>
      </c>
      <c r="B240" s="5">
        <v>3</v>
      </c>
      <c r="C240" s="5" t="s">
        <v>1243</v>
      </c>
      <c r="D240" s="5" t="s">
        <v>1165</v>
      </c>
      <c r="E240" s="5">
        <v>3</v>
      </c>
      <c r="F240" s="6"/>
    </row>
    <row r="241" spans="1:6" ht="36" customHeight="1">
      <c r="A241" s="12" t="s">
        <v>576</v>
      </c>
      <c r="B241" s="5">
        <v>4</v>
      </c>
      <c r="C241" s="5" t="s">
        <v>1456</v>
      </c>
      <c r="D241" s="5" t="s">
        <v>1457</v>
      </c>
      <c r="E241" s="5">
        <v>4</v>
      </c>
      <c r="F241" s="6"/>
    </row>
    <row r="242" spans="1:6" ht="36" customHeight="1">
      <c r="A242" s="12" t="s">
        <v>576</v>
      </c>
      <c r="B242" s="5">
        <v>5</v>
      </c>
      <c r="C242" s="5" t="s">
        <v>1458</v>
      </c>
      <c r="D242" s="5" t="s">
        <v>1247</v>
      </c>
      <c r="E242" s="5">
        <v>5</v>
      </c>
      <c r="F242" s="6"/>
    </row>
    <row r="243" spans="1:6" ht="36" customHeight="1">
      <c r="A243" s="12" t="s">
        <v>605</v>
      </c>
      <c r="B243" s="5">
        <v>1</v>
      </c>
      <c r="C243" s="5" t="s">
        <v>1459</v>
      </c>
      <c r="D243" s="5" t="s">
        <v>1240</v>
      </c>
      <c r="E243" s="5">
        <v>1</v>
      </c>
      <c r="F243" s="6"/>
    </row>
    <row r="244" spans="1:6" ht="36" customHeight="1">
      <c r="A244" s="12" t="s">
        <v>605</v>
      </c>
      <c r="B244" s="5">
        <v>2</v>
      </c>
      <c r="C244" s="5" t="s">
        <v>1020</v>
      </c>
      <c r="D244" s="5"/>
      <c r="E244" s="5">
        <v>2</v>
      </c>
      <c r="F244" s="6"/>
    </row>
    <row r="245" spans="1:6" ht="36" customHeight="1">
      <c r="A245" s="12" t="s">
        <v>605</v>
      </c>
      <c r="B245" s="5">
        <v>3</v>
      </c>
      <c r="C245" s="5" t="s">
        <v>1100</v>
      </c>
      <c r="D245" s="5"/>
      <c r="E245" s="5">
        <v>3</v>
      </c>
      <c r="F245" s="6"/>
    </row>
    <row r="246" spans="1:6" ht="36" customHeight="1">
      <c r="A246" s="12" t="s">
        <v>605</v>
      </c>
      <c r="B246" s="5">
        <v>4</v>
      </c>
      <c r="C246" s="5" t="s">
        <v>1318</v>
      </c>
      <c r="D246" s="5" t="s">
        <v>1245</v>
      </c>
      <c r="E246" s="5">
        <v>4</v>
      </c>
      <c r="F246" s="6"/>
    </row>
    <row r="247" spans="1:6" ht="36" customHeight="1">
      <c r="A247" s="12" t="s">
        <v>605</v>
      </c>
      <c r="B247" s="5">
        <v>5</v>
      </c>
      <c r="C247" s="5" t="s">
        <v>1104</v>
      </c>
      <c r="D247" s="5"/>
      <c r="E247" s="5">
        <v>5</v>
      </c>
      <c r="F247" s="6"/>
    </row>
    <row r="248" spans="1:6" ht="36" customHeight="1">
      <c r="A248" s="12" t="s">
        <v>605</v>
      </c>
      <c r="B248" s="5">
        <v>6</v>
      </c>
      <c r="C248" s="5" t="s">
        <v>1257</v>
      </c>
      <c r="D248" s="5"/>
      <c r="E248" s="5">
        <v>6</v>
      </c>
      <c r="F248" s="6"/>
    </row>
    <row r="249" spans="1:6" ht="36" customHeight="1">
      <c r="A249" s="12" t="s">
        <v>605</v>
      </c>
      <c r="B249" s="5">
        <v>7</v>
      </c>
      <c r="C249" s="5" t="s">
        <v>1460</v>
      </c>
      <c r="D249" s="5" t="s">
        <v>1417</v>
      </c>
      <c r="E249" s="5">
        <v>7</v>
      </c>
      <c r="F249" s="6"/>
    </row>
    <row r="250" spans="1:6" ht="36" customHeight="1">
      <c r="A250" s="12" t="s">
        <v>610</v>
      </c>
      <c r="B250" s="5">
        <v>1</v>
      </c>
      <c r="C250" s="5" t="s">
        <v>1461</v>
      </c>
      <c r="D250" s="5" t="s">
        <v>1462</v>
      </c>
      <c r="E250" s="5">
        <v>-3</v>
      </c>
      <c r="F250" s="6"/>
    </row>
    <row r="251" spans="1:6" ht="36" customHeight="1">
      <c r="A251" s="12" t="s">
        <v>610</v>
      </c>
      <c r="B251" s="5">
        <v>2</v>
      </c>
      <c r="C251" s="5" t="s">
        <v>1463</v>
      </c>
      <c r="D251" s="5" t="s">
        <v>1464</v>
      </c>
      <c r="E251" s="5">
        <v>-2</v>
      </c>
      <c r="F251" s="6"/>
    </row>
    <row r="252" spans="1:6" ht="36" customHeight="1">
      <c r="A252" s="12" t="s">
        <v>610</v>
      </c>
      <c r="B252" s="5">
        <v>3</v>
      </c>
      <c r="C252" s="5" t="s">
        <v>1465</v>
      </c>
      <c r="D252" s="5" t="s">
        <v>1466</v>
      </c>
      <c r="E252" s="5">
        <v>-1</v>
      </c>
      <c r="F252" s="6"/>
    </row>
    <row r="253" spans="1:6" ht="36" customHeight="1">
      <c r="A253" s="12" t="s">
        <v>610</v>
      </c>
      <c r="B253" s="5">
        <v>4</v>
      </c>
      <c r="C253" s="5" t="s">
        <v>1467</v>
      </c>
      <c r="D253" s="5" t="s">
        <v>1468</v>
      </c>
      <c r="E253" s="5">
        <v>0</v>
      </c>
      <c r="F253" s="6"/>
    </row>
    <row r="254" spans="1:6" ht="36" customHeight="1">
      <c r="A254" s="12" t="s">
        <v>610</v>
      </c>
      <c r="B254" s="5">
        <v>5</v>
      </c>
      <c r="C254" s="5" t="s">
        <v>1469</v>
      </c>
      <c r="D254" s="5" t="s">
        <v>1470</v>
      </c>
      <c r="E254" s="5">
        <v>1</v>
      </c>
      <c r="F254" s="6"/>
    </row>
    <row r="255" spans="1:6" ht="36" customHeight="1">
      <c r="A255" s="12" t="s">
        <v>610</v>
      </c>
      <c r="B255" s="5">
        <v>6</v>
      </c>
      <c r="C255" s="5" t="s">
        <v>1471</v>
      </c>
      <c r="D255" s="5" t="s">
        <v>1472</v>
      </c>
      <c r="E255" s="5">
        <v>2</v>
      </c>
      <c r="F255" s="6"/>
    </row>
    <row r="256" spans="1:6" ht="36" customHeight="1">
      <c r="A256" s="13" t="s">
        <v>610</v>
      </c>
      <c r="B256" s="8">
        <v>7</v>
      </c>
      <c r="C256" s="8" t="s">
        <v>1473</v>
      </c>
      <c r="D256" s="8" t="s">
        <v>1474</v>
      </c>
      <c r="E256" s="8">
        <v>3</v>
      </c>
      <c r="F256" s="9"/>
    </row>
  </sheetData>
  <mergeCells count="2">
    <mergeCell ref="A1:F1"/>
    <mergeCell ref="A2:F2"/>
  </mergeCells>
  <phoneticPr fontId="8"/>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8</vt:i4>
      </vt:variant>
    </vt:vector>
  </HeadingPairs>
  <TitlesOfParts>
    <vt:vector size="8" baseType="lpstr">
      <vt:lpstr>00_設計ガイド</vt:lpstr>
      <vt:lpstr>01_実験1_設問票</vt:lpstr>
      <vt:lpstr>02_実験2_設問票</vt:lpstr>
      <vt:lpstr>03_出典原文</vt:lpstr>
      <vt:lpstr>04_サービス候補</vt:lpstr>
      <vt:lpstr>05_コードブック</vt:lpstr>
      <vt:lpstr>06_BTSテンプレ</vt:lpstr>
      <vt:lpstr>07_回答選択肢</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Masahiro Honda</cp:lastModifiedBy>
  <dcterms:modified xsi:type="dcterms:W3CDTF">2026-08-20T23:51:09Z</dcterms:modified>
</cp:coreProperties>
</file>